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hoo\Downloads\"/>
    </mc:Choice>
  </mc:AlternateContent>
  <bookViews>
    <workbookView xWindow="0" yWindow="0" windowWidth="13308" windowHeight="2796" activeTab="2"/>
  </bookViews>
  <sheets>
    <sheet name="Sheet3" sheetId="3" r:id="rId1"/>
    <sheet name="h" sheetId="30" r:id="rId2"/>
    <sheet name="Dataset" sheetId="31" r:id="rId3"/>
    <sheet name="ABC12" sheetId="21" r:id="rId4"/>
    <sheet name="Sheet1" sheetId="29" r:id="rId5"/>
    <sheet name="ABC_" sheetId="33" r:id="rId6"/>
    <sheet name="cpy" sheetId="4" r:id="rId7"/>
    <sheet name="ABC" sheetId="32" r:id="rId8"/>
    <sheet name="ABC11" sheetId="22" r:id="rId9"/>
  </sheets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4" i="32" l="1"/>
  <c r="F174" i="32"/>
  <c r="D173" i="32"/>
  <c r="G170" i="32"/>
  <c r="F170" i="32"/>
  <c r="D169" i="32"/>
  <c r="G166" i="32"/>
  <c r="F166" i="32"/>
  <c r="D165" i="32"/>
  <c r="G162" i="32"/>
  <c r="F162" i="32"/>
  <c r="D161" i="32"/>
  <c r="G158" i="32"/>
  <c r="F158" i="32"/>
  <c r="D157" i="32"/>
  <c r="G154" i="32"/>
  <c r="F154" i="32"/>
  <c r="D153" i="32"/>
  <c r="G150" i="32"/>
  <c r="F150" i="32"/>
  <c r="D149" i="32"/>
  <c r="G146" i="32"/>
  <c r="F146" i="32"/>
  <c r="D145" i="32"/>
  <c r="G142" i="32"/>
  <c r="F142" i="32"/>
  <c r="D141" i="32"/>
  <c r="G138" i="32"/>
  <c r="F138" i="32"/>
  <c r="D137" i="32"/>
  <c r="G134" i="32"/>
  <c r="F134" i="32"/>
  <c r="D133" i="32"/>
  <c r="G130" i="32"/>
  <c r="F130" i="32"/>
  <c r="D129" i="32"/>
  <c r="G126" i="32"/>
  <c r="F126" i="32"/>
  <c r="D125" i="32"/>
  <c r="G122" i="32"/>
  <c r="F122" i="32"/>
  <c r="D121" i="32"/>
  <c r="G118" i="32"/>
  <c r="F118" i="32"/>
  <c r="D117" i="32"/>
  <c r="G114" i="32"/>
  <c r="F114" i="32"/>
  <c r="D113" i="32"/>
  <c r="G110" i="32"/>
  <c r="F110" i="32"/>
  <c r="D109" i="32"/>
  <c r="G106" i="32"/>
  <c r="F106" i="32"/>
  <c r="D105" i="32"/>
  <c r="G102" i="32"/>
  <c r="F102" i="32"/>
  <c r="D101" i="32"/>
  <c r="G98" i="32"/>
  <c r="F98" i="32"/>
  <c r="D97" i="32"/>
  <c r="G94" i="32"/>
  <c r="F94" i="32"/>
  <c r="D93" i="32"/>
  <c r="G90" i="32"/>
  <c r="F90" i="32"/>
  <c r="D89" i="32"/>
  <c r="G86" i="32"/>
  <c r="F86" i="32"/>
  <c r="D85" i="32"/>
  <c r="G82" i="32"/>
  <c r="F82" i="32"/>
  <c r="D81" i="32"/>
  <c r="G78" i="32"/>
  <c r="F78" i="32"/>
  <c r="D77" i="32"/>
  <c r="G74" i="32"/>
  <c r="F74" i="32"/>
  <c r="D73" i="32"/>
  <c r="G70" i="32"/>
  <c r="F70" i="32"/>
  <c r="D69" i="32"/>
  <c r="G66" i="32"/>
  <c r="F66" i="32"/>
  <c r="D65" i="32"/>
  <c r="G62" i="32"/>
  <c r="F62" i="32"/>
  <c r="D61" i="32"/>
  <c r="G58" i="32"/>
  <c r="F58" i="32"/>
  <c r="D57" i="32"/>
  <c r="G54" i="32"/>
  <c r="F54" i="32"/>
  <c r="D53" i="32"/>
  <c r="G50" i="32"/>
  <c r="F50" i="32"/>
  <c r="D49" i="32"/>
  <c r="G46" i="32"/>
  <c r="F46" i="32"/>
  <c r="D45" i="32"/>
  <c r="G42" i="32"/>
  <c r="F42" i="32"/>
  <c r="D41" i="32"/>
  <c r="G38" i="32"/>
  <c r="F38" i="32"/>
  <c r="D37" i="32"/>
  <c r="G34" i="32"/>
  <c r="F34" i="32"/>
  <c r="D33" i="32"/>
  <c r="G30" i="32"/>
  <c r="F30" i="32"/>
  <c r="D29" i="32"/>
  <c r="G26" i="32"/>
  <c r="F26" i="32"/>
  <c r="D25" i="32"/>
  <c r="G22" i="32"/>
  <c r="F22" i="32"/>
  <c r="D21" i="32"/>
  <c r="G18" i="32"/>
  <c r="F18" i="32"/>
  <c r="D17" i="32"/>
  <c r="G14" i="32"/>
  <c r="F14" i="32"/>
  <c r="D13" i="32"/>
  <c r="G10" i="32"/>
  <c r="F10" i="32"/>
  <c r="D9" i="32"/>
  <c r="G6" i="32"/>
  <c r="F6" i="32"/>
  <c r="D5" i="32"/>
  <c r="M46" i="29"/>
  <c r="K46" i="29" s="1"/>
  <c r="J46" i="29"/>
  <c r="I46" i="29"/>
  <c r="D46" i="29"/>
  <c r="M45" i="29"/>
  <c r="J45" i="29"/>
  <c r="I45" i="29"/>
  <c r="D45" i="29"/>
  <c r="M44" i="29"/>
  <c r="K44" i="29" s="1"/>
  <c r="J44" i="29"/>
  <c r="I44" i="29"/>
  <c r="D44" i="29"/>
  <c r="M43" i="29"/>
  <c r="J43" i="29"/>
  <c r="I43" i="29"/>
  <c r="D43" i="29"/>
  <c r="M42" i="29"/>
  <c r="K42" i="29" s="1"/>
  <c r="J42" i="29"/>
  <c r="I42" i="29"/>
  <c r="D42" i="29"/>
  <c r="M41" i="29"/>
  <c r="K41" i="29"/>
  <c r="J41" i="29"/>
  <c r="I41" i="29"/>
  <c r="D41" i="29"/>
  <c r="M40" i="29"/>
  <c r="K40" i="29" s="1"/>
  <c r="J40" i="29"/>
  <c r="I40" i="29"/>
  <c r="D40" i="29"/>
  <c r="M39" i="29"/>
  <c r="K39" i="29"/>
  <c r="J39" i="29"/>
  <c r="I39" i="29"/>
  <c r="D39" i="29"/>
  <c r="M38" i="29"/>
  <c r="J38" i="29"/>
  <c r="I38" i="29"/>
  <c r="D38" i="29"/>
  <c r="M37" i="29"/>
  <c r="K37" i="29" s="1"/>
  <c r="J37" i="29"/>
  <c r="I37" i="29"/>
  <c r="D37" i="29"/>
  <c r="M36" i="29"/>
  <c r="J36" i="29"/>
  <c r="I36" i="29"/>
  <c r="D36" i="29"/>
  <c r="M35" i="29"/>
  <c r="K35" i="29" s="1"/>
  <c r="J35" i="29"/>
  <c r="I35" i="29"/>
  <c r="D35" i="29"/>
  <c r="M34" i="29"/>
  <c r="J34" i="29"/>
  <c r="I34" i="29"/>
  <c r="D34" i="29"/>
  <c r="M33" i="29"/>
  <c r="K33" i="29" s="1"/>
  <c r="J33" i="29"/>
  <c r="I33" i="29"/>
  <c r="D33" i="29"/>
  <c r="M32" i="29"/>
  <c r="K32" i="29"/>
  <c r="J32" i="29"/>
  <c r="I32" i="29"/>
  <c r="D32" i="29"/>
  <c r="M31" i="29"/>
  <c r="J31" i="29"/>
  <c r="K31" i="29" s="1"/>
  <c r="I31" i="29"/>
  <c r="D31" i="29"/>
  <c r="M30" i="29"/>
  <c r="J30" i="29"/>
  <c r="I30" i="29"/>
  <c r="D30" i="29"/>
  <c r="M29" i="29"/>
  <c r="J29" i="29"/>
  <c r="I29" i="29"/>
  <c r="D29" i="29"/>
  <c r="M28" i="29"/>
  <c r="J28" i="29"/>
  <c r="I28" i="29"/>
  <c r="D28" i="29"/>
  <c r="M27" i="29"/>
  <c r="J27" i="29"/>
  <c r="I27" i="29"/>
  <c r="D27" i="29"/>
  <c r="M26" i="29"/>
  <c r="J26" i="29"/>
  <c r="I26" i="29"/>
  <c r="D26" i="29"/>
  <c r="M25" i="29"/>
  <c r="J25" i="29"/>
  <c r="K25" i="29" s="1"/>
  <c r="I25" i="29"/>
  <c r="D25" i="29"/>
  <c r="M24" i="29"/>
  <c r="K24" i="29" s="1"/>
  <c r="J24" i="29"/>
  <c r="I24" i="29"/>
  <c r="D24" i="29"/>
  <c r="M23" i="29"/>
  <c r="K23" i="29"/>
  <c r="J23" i="29"/>
  <c r="I23" i="29"/>
  <c r="D23" i="29"/>
  <c r="M22" i="29"/>
  <c r="K22" i="29" s="1"/>
  <c r="J22" i="29"/>
  <c r="I22" i="29"/>
  <c r="D22" i="29"/>
  <c r="M21" i="29"/>
  <c r="K21" i="29" s="1"/>
  <c r="J21" i="29"/>
  <c r="I21" i="29"/>
  <c r="D21" i="29"/>
  <c r="M20" i="29"/>
  <c r="K20" i="29" s="1"/>
  <c r="J20" i="29"/>
  <c r="I20" i="29"/>
  <c r="D20" i="29"/>
  <c r="M19" i="29"/>
  <c r="K19" i="29" s="1"/>
  <c r="J19" i="29"/>
  <c r="I19" i="29"/>
  <c r="D19" i="29"/>
  <c r="M18" i="29"/>
  <c r="K18" i="29" s="1"/>
  <c r="J18" i="29"/>
  <c r="I18" i="29"/>
  <c r="D18" i="29"/>
  <c r="M17" i="29"/>
  <c r="K17" i="29"/>
  <c r="J17" i="29"/>
  <c r="I17" i="29"/>
  <c r="D17" i="29"/>
  <c r="M16" i="29"/>
  <c r="J16" i="29"/>
  <c r="K16" i="29" s="1"/>
  <c r="I16" i="29"/>
  <c r="D16" i="29"/>
  <c r="M15" i="29"/>
  <c r="J15" i="29"/>
  <c r="K15" i="29" s="1"/>
  <c r="I15" i="29"/>
  <c r="D15" i="29"/>
  <c r="M14" i="29"/>
  <c r="K14" i="29" s="1"/>
  <c r="J14" i="29"/>
  <c r="I14" i="29"/>
  <c r="D14" i="29"/>
  <c r="M13" i="29"/>
  <c r="J13" i="29"/>
  <c r="I13" i="29"/>
  <c r="D13" i="29"/>
  <c r="M12" i="29"/>
  <c r="J12" i="29"/>
  <c r="I12" i="29"/>
  <c r="D12" i="29"/>
  <c r="M11" i="29"/>
  <c r="J11" i="29"/>
  <c r="I11" i="29"/>
  <c r="D11" i="29"/>
  <c r="M10" i="29"/>
  <c r="K10" i="29"/>
  <c r="J10" i="29"/>
  <c r="I10" i="29"/>
  <c r="D10" i="29"/>
  <c r="M9" i="29"/>
  <c r="K9" i="29" s="1"/>
  <c r="J9" i="29"/>
  <c r="I9" i="29"/>
  <c r="D9" i="29"/>
  <c r="M8" i="29"/>
  <c r="J8" i="29"/>
  <c r="I8" i="29"/>
  <c r="D8" i="29"/>
  <c r="M7" i="29"/>
  <c r="J7" i="29"/>
  <c r="K7" i="29" s="1"/>
  <c r="I7" i="29"/>
  <c r="D7" i="29"/>
  <c r="M6" i="29"/>
  <c r="J6" i="29"/>
  <c r="I6" i="29"/>
  <c r="D6" i="29"/>
  <c r="M5" i="29"/>
  <c r="J5" i="29"/>
  <c r="K5" i="29" s="1"/>
  <c r="I5" i="29"/>
  <c r="D5" i="29"/>
  <c r="M4" i="29"/>
  <c r="J4" i="29"/>
  <c r="I4" i="29"/>
  <c r="D4" i="29"/>
  <c r="D2" i="29"/>
  <c r="M100" i="31"/>
  <c r="J100" i="31"/>
  <c r="I100" i="31"/>
  <c r="D100" i="31"/>
  <c r="M99" i="31"/>
  <c r="J99" i="31"/>
  <c r="I99" i="31"/>
  <c r="D99" i="31"/>
  <c r="M98" i="31"/>
  <c r="J98" i="31"/>
  <c r="I98" i="31"/>
  <c r="D98" i="31"/>
  <c r="M97" i="31"/>
  <c r="J97" i="31"/>
  <c r="I97" i="31"/>
  <c r="D97" i="31"/>
  <c r="M96" i="31"/>
  <c r="J96" i="31"/>
  <c r="I96" i="31"/>
  <c r="D96" i="31"/>
  <c r="M95" i="31"/>
  <c r="J95" i="31"/>
  <c r="I95" i="31"/>
  <c r="D95" i="31"/>
  <c r="M94" i="31"/>
  <c r="J94" i="31"/>
  <c r="I94" i="31"/>
  <c r="D94" i="31"/>
  <c r="M93" i="31"/>
  <c r="J93" i="31"/>
  <c r="I93" i="31"/>
  <c r="D93" i="31"/>
  <c r="M92" i="31"/>
  <c r="J92" i="31"/>
  <c r="I92" i="31"/>
  <c r="D92" i="31"/>
  <c r="M91" i="31"/>
  <c r="J91" i="31"/>
  <c r="I91" i="31"/>
  <c r="D91" i="31"/>
  <c r="M90" i="31"/>
  <c r="J90" i="31"/>
  <c r="I90" i="31"/>
  <c r="D90" i="31"/>
  <c r="M89" i="31"/>
  <c r="J89" i="31"/>
  <c r="I89" i="31"/>
  <c r="D89" i="31"/>
  <c r="M88" i="31"/>
  <c r="J88" i="31"/>
  <c r="I88" i="31"/>
  <c r="D88" i="31"/>
  <c r="M87" i="31"/>
  <c r="J87" i="31"/>
  <c r="I87" i="31"/>
  <c r="D87" i="31"/>
  <c r="M86" i="31"/>
  <c r="J86" i="31"/>
  <c r="I86" i="31"/>
  <c r="D86" i="31"/>
  <c r="M85" i="31"/>
  <c r="J85" i="31"/>
  <c r="I85" i="31"/>
  <c r="D85" i="31"/>
  <c r="M84" i="31"/>
  <c r="J84" i="31"/>
  <c r="I84" i="31"/>
  <c r="D84" i="31"/>
  <c r="M83" i="31"/>
  <c r="J83" i="31"/>
  <c r="I83" i="31"/>
  <c r="D83" i="31"/>
  <c r="M82" i="31"/>
  <c r="J82" i="31"/>
  <c r="I82" i="31"/>
  <c r="D82" i="31"/>
  <c r="M81" i="31"/>
  <c r="J81" i="31"/>
  <c r="I81" i="31"/>
  <c r="D81" i="31"/>
  <c r="M80" i="31"/>
  <c r="J80" i="31"/>
  <c r="I80" i="31"/>
  <c r="D80" i="31"/>
  <c r="M79" i="31"/>
  <c r="J79" i="31"/>
  <c r="I79" i="31"/>
  <c r="D79" i="31"/>
  <c r="M78" i="31"/>
  <c r="J78" i="31"/>
  <c r="I78" i="31"/>
  <c r="D78" i="31"/>
  <c r="M77" i="31"/>
  <c r="J77" i="31"/>
  <c r="I77" i="31"/>
  <c r="D77" i="31"/>
  <c r="M76" i="31"/>
  <c r="J76" i="31"/>
  <c r="I76" i="31"/>
  <c r="D76" i="31"/>
  <c r="M75" i="31"/>
  <c r="J75" i="31"/>
  <c r="I75" i="31"/>
  <c r="D75" i="31"/>
  <c r="M74" i="31"/>
  <c r="J74" i="31"/>
  <c r="I74" i="31"/>
  <c r="D74" i="31"/>
  <c r="M73" i="31"/>
  <c r="J73" i="31"/>
  <c r="I73" i="31"/>
  <c r="D73" i="31"/>
  <c r="M72" i="31"/>
  <c r="J72" i="31"/>
  <c r="I72" i="31"/>
  <c r="D72" i="31"/>
  <c r="M71" i="31"/>
  <c r="J71" i="31"/>
  <c r="I71" i="31"/>
  <c r="D71" i="31"/>
  <c r="M70" i="31"/>
  <c r="K70" i="31" s="1"/>
  <c r="J70" i="31"/>
  <c r="I70" i="31"/>
  <c r="D70" i="31"/>
  <c r="M69" i="31"/>
  <c r="J69" i="31"/>
  <c r="K69" i="31" s="1"/>
  <c r="I69" i="31"/>
  <c r="D69" i="31"/>
  <c r="M68" i="31"/>
  <c r="K68" i="31" s="1"/>
  <c r="J68" i="31"/>
  <c r="I68" i="31"/>
  <c r="D68" i="31"/>
  <c r="M67" i="31"/>
  <c r="J67" i="31"/>
  <c r="K67" i="31" s="1"/>
  <c r="I67" i="31"/>
  <c r="D67" i="31"/>
  <c r="M66" i="31"/>
  <c r="K66" i="31" s="1"/>
  <c r="J66" i="31"/>
  <c r="I66" i="31"/>
  <c r="D66" i="31"/>
  <c r="M65" i="31"/>
  <c r="K65" i="31" s="1"/>
  <c r="J65" i="31"/>
  <c r="I65" i="31"/>
  <c r="D65" i="31"/>
  <c r="M64" i="31"/>
  <c r="K64" i="31" s="1"/>
  <c r="J64" i="31"/>
  <c r="I64" i="31"/>
  <c r="D64" i="31"/>
  <c r="M63" i="31"/>
  <c r="K63" i="31" s="1"/>
  <c r="J63" i="31"/>
  <c r="I63" i="31"/>
  <c r="D63" i="31"/>
  <c r="M62" i="31"/>
  <c r="K62" i="31"/>
  <c r="J62" i="31"/>
  <c r="I62" i="31"/>
  <c r="D62" i="31"/>
  <c r="M61" i="31"/>
  <c r="K61" i="31" s="1"/>
  <c r="J61" i="31"/>
  <c r="I61" i="31"/>
  <c r="D61" i="31"/>
  <c r="M60" i="31"/>
  <c r="K60" i="31"/>
  <c r="J60" i="31"/>
  <c r="I60" i="31"/>
  <c r="D60" i="31"/>
  <c r="M59" i="31"/>
  <c r="J59" i="31"/>
  <c r="K59" i="31" s="1"/>
  <c r="I59" i="31"/>
  <c r="D59" i="31"/>
  <c r="M58" i="31"/>
  <c r="K58" i="31"/>
  <c r="J58" i="31"/>
  <c r="I58" i="31"/>
  <c r="D58" i="31"/>
  <c r="M57" i="31"/>
  <c r="K57" i="31" s="1"/>
  <c r="J57" i="31"/>
  <c r="I57" i="31"/>
  <c r="D57" i="31"/>
  <c r="M56" i="31"/>
  <c r="K56" i="31" s="1"/>
  <c r="J56" i="31"/>
  <c r="I56" i="31"/>
  <c r="D56" i="31"/>
  <c r="M55" i="31"/>
  <c r="K55" i="31" s="1"/>
  <c r="J55" i="31"/>
  <c r="I55" i="31"/>
  <c r="D55" i="31"/>
  <c r="M54" i="31"/>
  <c r="K54" i="31"/>
  <c r="J54" i="31"/>
  <c r="I54" i="31"/>
  <c r="D54" i="31"/>
  <c r="M53" i="31"/>
  <c r="K53" i="31" s="1"/>
  <c r="J53" i="31"/>
  <c r="I53" i="31"/>
  <c r="D53" i="31"/>
  <c r="M52" i="31"/>
  <c r="K52" i="31"/>
  <c r="J52" i="31"/>
  <c r="I52" i="31"/>
  <c r="D52" i="31"/>
  <c r="M51" i="31"/>
  <c r="J51" i="31"/>
  <c r="K51" i="31" s="1"/>
  <c r="I51" i="31"/>
  <c r="D51" i="31"/>
  <c r="M50" i="31"/>
  <c r="K50" i="31"/>
  <c r="J50" i="31"/>
  <c r="I50" i="31"/>
  <c r="D50" i="31"/>
  <c r="M49" i="31"/>
  <c r="K49" i="31" s="1"/>
  <c r="J49" i="31"/>
  <c r="I49" i="31"/>
  <c r="D49" i="31"/>
  <c r="M48" i="31"/>
  <c r="K48" i="31" s="1"/>
  <c r="J48" i="31"/>
  <c r="I48" i="31"/>
  <c r="D48" i="31"/>
  <c r="M47" i="31"/>
  <c r="K47" i="31" s="1"/>
  <c r="J47" i="31"/>
  <c r="I47" i="31"/>
  <c r="D47" i="31"/>
  <c r="M46" i="31"/>
  <c r="K46" i="31"/>
  <c r="J46" i="31"/>
  <c r="I46" i="31"/>
  <c r="D46" i="31"/>
  <c r="M45" i="31"/>
  <c r="K45" i="31" s="1"/>
  <c r="J45" i="31"/>
  <c r="I45" i="31"/>
  <c r="D45" i="31"/>
  <c r="M44" i="31"/>
  <c r="K44" i="31"/>
  <c r="J44" i="31"/>
  <c r="I44" i="31"/>
  <c r="D44" i="31"/>
  <c r="M43" i="31"/>
  <c r="J43" i="31"/>
  <c r="K43" i="31" s="1"/>
  <c r="I43" i="31"/>
  <c r="D43" i="31"/>
  <c r="M42" i="31"/>
  <c r="K42" i="31"/>
  <c r="J42" i="31"/>
  <c r="I42" i="31"/>
  <c r="D42" i="31"/>
  <c r="M41" i="31"/>
  <c r="K41" i="31" s="1"/>
  <c r="J41" i="31"/>
  <c r="I41" i="31"/>
  <c r="D41" i="31"/>
  <c r="M40" i="31"/>
  <c r="K40" i="31" s="1"/>
  <c r="J40" i="31"/>
  <c r="I40" i="31"/>
  <c r="D40" i="31"/>
  <c r="M39" i="31"/>
  <c r="K39" i="31" s="1"/>
  <c r="J39" i="31"/>
  <c r="I39" i="31"/>
  <c r="D39" i="31"/>
  <c r="M38" i="31"/>
  <c r="K38" i="31"/>
  <c r="J38" i="31"/>
  <c r="I38" i="31"/>
  <c r="D38" i="31"/>
  <c r="M37" i="31"/>
  <c r="K37" i="31" s="1"/>
  <c r="J37" i="31"/>
  <c r="I37" i="31"/>
  <c r="D37" i="31"/>
  <c r="M36" i="31"/>
  <c r="K36" i="31"/>
  <c r="J36" i="31"/>
  <c r="I36" i="31"/>
  <c r="D36" i="31"/>
  <c r="M35" i="31"/>
  <c r="J35" i="31"/>
  <c r="K35" i="31" s="1"/>
  <c r="I35" i="31"/>
  <c r="D35" i="31"/>
  <c r="M34" i="31"/>
  <c r="J34" i="31"/>
  <c r="K34" i="31" s="1"/>
  <c r="I34" i="31"/>
  <c r="D34" i="31"/>
  <c r="M33" i="31"/>
  <c r="K33" i="31" s="1"/>
  <c r="J33" i="31"/>
  <c r="I33" i="31"/>
  <c r="D33" i="31"/>
  <c r="M32" i="31"/>
  <c r="K32" i="31" s="1"/>
  <c r="J32" i="31"/>
  <c r="I32" i="31"/>
  <c r="D32" i="31"/>
  <c r="M31" i="31"/>
  <c r="K31" i="31" s="1"/>
  <c r="J31" i="31"/>
  <c r="I31" i="31"/>
  <c r="D31" i="31"/>
  <c r="M30" i="31"/>
  <c r="K30" i="31"/>
  <c r="J30" i="31"/>
  <c r="I30" i="31"/>
  <c r="D30" i="31"/>
  <c r="M29" i="31"/>
  <c r="K29" i="31"/>
  <c r="J29" i="31"/>
  <c r="I29" i="31"/>
  <c r="D29" i="31"/>
  <c r="M28" i="31"/>
  <c r="K28" i="31"/>
  <c r="J28" i="31"/>
  <c r="I28" i="31"/>
  <c r="D28" i="31"/>
  <c r="M27" i="31"/>
  <c r="J27" i="31"/>
  <c r="K27" i="31" s="1"/>
  <c r="I27" i="31"/>
  <c r="D27" i="31"/>
  <c r="M26" i="31"/>
  <c r="J26" i="31"/>
  <c r="K26" i="31" s="1"/>
  <c r="I26" i="31"/>
  <c r="D26" i="31"/>
  <c r="M25" i="31"/>
  <c r="K25" i="31" s="1"/>
  <c r="J25" i="31"/>
  <c r="I25" i="31"/>
  <c r="D25" i="31"/>
  <c r="M24" i="31"/>
  <c r="K24" i="31" s="1"/>
  <c r="J24" i="31"/>
  <c r="I24" i="31"/>
  <c r="D24" i="31"/>
  <c r="M23" i="31"/>
  <c r="K23" i="31" s="1"/>
  <c r="J23" i="31"/>
  <c r="I23" i="31"/>
  <c r="D23" i="31"/>
  <c r="M22" i="31"/>
  <c r="K22" i="31"/>
  <c r="J22" i="31"/>
  <c r="I22" i="31"/>
  <c r="D22" i="31"/>
  <c r="M21" i="31"/>
  <c r="K21" i="31"/>
  <c r="J21" i="31"/>
  <c r="I21" i="31"/>
  <c r="D21" i="31"/>
  <c r="M20" i="31"/>
  <c r="K20" i="31"/>
  <c r="J20" i="31"/>
  <c r="I20" i="31"/>
  <c r="D20" i="31"/>
  <c r="M19" i="31"/>
  <c r="J19" i="31"/>
  <c r="K19" i="31" s="1"/>
  <c r="I19" i="31"/>
  <c r="D19" i="31"/>
  <c r="M18" i="31"/>
  <c r="J18" i="31"/>
  <c r="K18" i="31" s="1"/>
  <c r="I18" i="31"/>
  <c r="D18" i="31"/>
  <c r="M17" i="31"/>
  <c r="K17" i="31" s="1"/>
  <c r="J17" i="31"/>
  <c r="I17" i="31"/>
  <c r="D17" i="31"/>
  <c r="M16" i="31"/>
  <c r="K16" i="31" s="1"/>
  <c r="J16" i="31"/>
  <c r="I16" i="31"/>
  <c r="D16" i="31"/>
  <c r="M15" i="31"/>
  <c r="K15" i="31" s="1"/>
  <c r="J15" i="31"/>
  <c r="I15" i="31"/>
  <c r="D15" i="31"/>
  <c r="M14" i="31"/>
  <c r="K14" i="31"/>
  <c r="J14" i="31"/>
  <c r="I14" i="31"/>
  <c r="D14" i="31"/>
  <c r="M13" i="31"/>
  <c r="K13" i="31"/>
  <c r="J13" i="31"/>
  <c r="I13" i="31"/>
  <c r="D13" i="31"/>
  <c r="M12" i="31"/>
  <c r="K12" i="31"/>
  <c r="J12" i="31"/>
  <c r="I12" i="31"/>
  <c r="D12" i="31"/>
  <c r="M11" i="31"/>
  <c r="J11" i="31"/>
  <c r="K11" i="31" s="1"/>
  <c r="I11" i="31"/>
  <c r="D11" i="31"/>
  <c r="M10" i="31"/>
  <c r="J10" i="31"/>
  <c r="K10" i="31" s="1"/>
  <c r="I10" i="31"/>
  <c r="D10" i="31"/>
  <c r="M9" i="31"/>
  <c r="K9" i="31" s="1"/>
  <c r="J9" i="31"/>
  <c r="I9" i="31"/>
  <c r="D9" i="31"/>
  <c r="M8" i="31"/>
  <c r="K8" i="31" s="1"/>
  <c r="J8" i="31"/>
  <c r="I8" i="31"/>
  <c r="D8" i="31"/>
  <c r="M7" i="31"/>
  <c r="K7" i="31" s="1"/>
  <c r="J7" i="31"/>
  <c r="I7" i="31"/>
  <c r="D7" i="31"/>
  <c r="M6" i="31"/>
  <c r="K6" i="31"/>
  <c r="J6" i="31"/>
  <c r="I6" i="31"/>
  <c r="D6" i="31"/>
  <c r="M5" i="31"/>
  <c r="K5" i="31"/>
  <c r="J5" i="31"/>
  <c r="I5" i="31"/>
  <c r="D5" i="31"/>
  <c r="M4" i="31"/>
  <c r="K4" i="31"/>
  <c r="J4" i="31"/>
  <c r="I4" i="31"/>
  <c r="D4" i="31"/>
  <c r="D1" i="31"/>
  <c r="K4" i="29" l="1"/>
  <c r="K6" i="29"/>
  <c r="K8" i="29"/>
  <c r="K26" i="29"/>
  <c r="K28" i="29"/>
  <c r="K30" i="29"/>
  <c r="K45" i="29"/>
  <c r="K34" i="29"/>
  <c r="K36" i="29"/>
  <c r="K38" i="29"/>
  <c r="K12" i="29"/>
  <c r="K43" i="29"/>
  <c r="K27" i="29"/>
  <c r="K29" i="29"/>
  <c r="K11" i="29"/>
  <c r="K13" i="29"/>
  <c r="M37" i="30"/>
  <c r="J37" i="30"/>
  <c r="I37" i="30"/>
  <c r="D37" i="30"/>
  <c r="M36" i="30"/>
  <c r="J36" i="30"/>
  <c r="I36" i="30"/>
  <c r="D36" i="30"/>
  <c r="M35" i="30"/>
  <c r="J35" i="30"/>
  <c r="K35" i="30" s="1"/>
  <c r="I35" i="30"/>
  <c r="D35" i="30"/>
  <c r="M34" i="30"/>
  <c r="K34" i="30" s="1"/>
  <c r="J34" i="30"/>
  <c r="I34" i="30"/>
  <c r="D34" i="30"/>
  <c r="M33" i="30"/>
  <c r="J33" i="30"/>
  <c r="K33" i="30" s="1"/>
  <c r="I33" i="30"/>
  <c r="D33" i="30"/>
  <c r="M32" i="30"/>
  <c r="K32" i="30" s="1"/>
  <c r="J32" i="30"/>
  <c r="I32" i="30"/>
  <c r="D32" i="30"/>
  <c r="M31" i="30"/>
  <c r="K31" i="30" s="1"/>
  <c r="J31" i="30"/>
  <c r="I31" i="30"/>
  <c r="D31" i="30"/>
  <c r="M30" i="30"/>
  <c r="J30" i="30"/>
  <c r="I30" i="30"/>
  <c r="D30" i="30"/>
  <c r="M29" i="30"/>
  <c r="J29" i="30"/>
  <c r="I29" i="30"/>
  <c r="D29" i="30"/>
  <c r="M28" i="30"/>
  <c r="K28" i="30" s="1"/>
  <c r="J28" i="30"/>
  <c r="I28" i="30"/>
  <c r="D28" i="30"/>
  <c r="M27" i="30"/>
  <c r="K27" i="30" s="1"/>
  <c r="J27" i="30"/>
  <c r="I27" i="30"/>
  <c r="D27" i="30"/>
  <c r="M26" i="30"/>
  <c r="J26" i="30"/>
  <c r="I26" i="30"/>
  <c r="D26" i="30"/>
  <c r="M25" i="30"/>
  <c r="J25" i="30"/>
  <c r="I25" i="30"/>
  <c r="D25" i="30"/>
  <c r="M24" i="30"/>
  <c r="J24" i="30"/>
  <c r="K24" i="30" s="1"/>
  <c r="I24" i="30"/>
  <c r="D24" i="30"/>
  <c r="M23" i="30"/>
  <c r="K23" i="30" s="1"/>
  <c r="J23" i="30"/>
  <c r="I23" i="30"/>
  <c r="D23" i="30"/>
  <c r="M22" i="30"/>
  <c r="J22" i="30"/>
  <c r="K22" i="30" s="1"/>
  <c r="I22" i="30"/>
  <c r="D22" i="30"/>
  <c r="M21" i="30"/>
  <c r="J21" i="30"/>
  <c r="I21" i="30"/>
  <c r="D21" i="30"/>
  <c r="M20" i="30"/>
  <c r="J20" i="30"/>
  <c r="K20" i="30" s="1"/>
  <c r="I20" i="30"/>
  <c r="D20" i="30"/>
  <c r="M19" i="30"/>
  <c r="K19" i="30" s="1"/>
  <c r="J19" i="30"/>
  <c r="I19" i="30"/>
  <c r="D19" i="30"/>
  <c r="M18" i="30"/>
  <c r="J18" i="30"/>
  <c r="I18" i="30"/>
  <c r="D18" i="30"/>
  <c r="M17" i="30"/>
  <c r="J17" i="30"/>
  <c r="I17" i="30"/>
  <c r="D17" i="30"/>
  <c r="M16" i="30"/>
  <c r="K16" i="30"/>
  <c r="J16" i="30"/>
  <c r="I16" i="30"/>
  <c r="D16" i="30"/>
  <c r="M15" i="30"/>
  <c r="K15" i="30" s="1"/>
  <c r="J15" i="30"/>
  <c r="I15" i="30"/>
  <c r="D15" i="30"/>
  <c r="M14" i="30"/>
  <c r="K14" i="30" s="1"/>
  <c r="J14" i="30"/>
  <c r="I14" i="30"/>
  <c r="D14" i="30"/>
  <c r="M13" i="30"/>
  <c r="J13" i="30"/>
  <c r="I13" i="30"/>
  <c r="D13" i="30"/>
  <c r="M12" i="30"/>
  <c r="K12" i="30" s="1"/>
  <c r="J12" i="30"/>
  <c r="I12" i="30"/>
  <c r="D12" i="30"/>
  <c r="M11" i="30"/>
  <c r="J11" i="30"/>
  <c r="I11" i="30"/>
  <c r="D11" i="30"/>
  <c r="M10" i="30"/>
  <c r="J10" i="30"/>
  <c r="I10" i="30"/>
  <c r="D10" i="30"/>
  <c r="M9" i="30"/>
  <c r="J9" i="30"/>
  <c r="K9" i="30" s="1"/>
  <c r="I9" i="30"/>
  <c r="D9" i="30"/>
  <c r="M8" i="30"/>
  <c r="K8" i="30" s="1"/>
  <c r="J8" i="30"/>
  <c r="I8" i="30"/>
  <c r="D8" i="30"/>
  <c r="M7" i="30"/>
  <c r="J7" i="30"/>
  <c r="I7" i="30"/>
  <c r="D7" i="30"/>
  <c r="M6" i="30"/>
  <c r="K6" i="30" s="1"/>
  <c r="J6" i="30"/>
  <c r="I6" i="30"/>
  <c r="D6" i="30"/>
  <c r="M5" i="30"/>
  <c r="J5" i="30"/>
  <c r="K5" i="30" s="1"/>
  <c r="I5" i="30"/>
  <c r="D5" i="30"/>
  <c r="M4" i="30"/>
  <c r="K4" i="30" s="1"/>
  <c r="J4" i="30"/>
  <c r="I4" i="30"/>
  <c r="D4" i="30"/>
  <c r="D2" i="30"/>
  <c r="K18" i="30" l="1"/>
  <c r="K7" i="30"/>
  <c r="K11" i="30"/>
  <c r="K13" i="30"/>
  <c r="K26" i="30"/>
  <c r="K30" i="30"/>
  <c r="K17" i="30"/>
  <c r="K37" i="30"/>
  <c r="K21" i="30"/>
  <c r="K36" i="30"/>
  <c r="K25" i="30"/>
  <c r="K10" i="30"/>
  <c r="K29" i="30"/>
  <c r="G134" i="21"/>
  <c r="F134" i="21"/>
  <c r="D133" i="21"/>
  <c r="G130" i="21"/>
  <c r="F130" i="21"/>
  <c r="D129" i="21"/>
  <c r="G126" i="21"/>
  <c r="F126" i="21"/>
  <c r="D125" i="21"/>
  <c r="G122" i="21"/>
  <c r="F122" i="21"/>
  <c r="D121" i="21"/>
  <c r="G118" i="21"/>
  <c r="F118" i="21"/>
  <c r="D117" i="21"/>
  <c r="G114" i="21"/>
  <c r="F114" i="21"/>
  <c r="D113" i="21"/>
  <c r="G110" i="21"/>
  <c r="F110" i="21"/>
  <c r="D109" i="21"/>
  <c r="G106" i="21"/>
  <c r="F106" i="21"/>
  <c r="D105" i="21"/>
  <c r="G102" i="21"/>
  <c r="F102" i="21"/>
  <c r="D101" i="21"/>
  <c r="G98" i="21"/>
  <c r="F98" i="21"/>
  <c r="D97" i="21"/>
  <c r="G94" i="21"/>
  <c r="F94" i="21"/>
  <c r="D93" i="21"/>
  <c r="G90" i="21"/>
  <c r="F90" i="21"/>
  <c r="D89" i="21"/>
  <c r="G86" i="21"/>
  <c r="F86" i="21"/>
  <c r="D85" i="21"/>
  <c r="G82" i="21"/>
  <c r="F82" i="21"/>
  <c r="D81" i="21"/>
  <c r="G78" i="21"/>
  <c r="F78" i="21"/>
  <c r="D77" i="21"/>
  <c r="G74" i="21"/>
  <c r="F74" i="21"/>
  <c r="D73" i="21"/>
  <c r="G70" i="21"/>
  <c r="F70" i="21"/>
  <c r="D69" i="21"/>
  <c r="G66" i="21"/>
  <c r="F66" i="21"/>
  <c r="D65" i="21"/>
  <c r="G62" i="21"/>
  <c r="F62" i="21"/>
  <c r="D61" i="21"/>
  <c r="G58" i="21"/>
  <c r="F58" i="21"/>
  <c r="D57" i="21"/>
  <c r="G54" i="21"/>
  <c r="F54" i="21"/>
  <c r="D53" i="21"/>
  <c r="G50" i="21"/>
  <c r="F50" i="21"/>
  <c r="D49" i="21"/>
  <c r="G46" i="21"/>
  <c r="F46" i="21"/>
  <c r="D45" i="21"/>
  <c r="G42" i="21"/>
  <c r="F42" i="21"/>
  <c r="D41" i="21"/>
  <c r="G38" i="21"/>
  <c r="F38" i="21"/>
  <c r="D37" i="21"/>
  <c r="G34" i="21"/>
  <c r="F34" i="21"/>
  <c r="D33" i="21"/>
  <c r="G30" i="21"/>
  <c r="F30" i="21"/>
  <c r="D29" i="21"/>
  <c r="G26" i="21"/>
  <c r="F26" i="21"/>
  <c r="D25" i="21"/>
  <c r="G22" i="21"/>
  <c r="F22" i="21"/>
  <c r="D21" i="21"/>
  <c r="G18" i="21"/>
  <c r="F18" i="21"/>
  <c r="D17" i="21"/>
  <c r="G14" i="21"/>
  <c r="F14" i="21"/>
  <c r="D13" i="21"/>
  <c r="G10" i="21"/>
  <c r="F10" i="21"/>
  <c r="D9" i="21"/>
  <c r="G6" i="21"/>
  <c r="F6" i="21"/>
  <c r="D5" i="21"/>
</calcChain>
</file>

<file path=xl/sharedStrings.xml><?xml version="1.0" encoding="utf-8"?>
<sst xmlns="http://schemas.openxmlformats.org/spreadsheetml/2006/main" count="862" uniqueCount="110">
  <si>
    <t>SECTION</t>
  </si>
  <si>
    <t>MODULE#</t>
  </si>
  <si>
    <t>COMMENT</t>
  </si>
  <si>
    <t>STYLE#- S/O</t>
  </si>
  <si>
    <t>ORDER QTY</t>
  </si>
  <si>
    <t>DALLY REQ</t>
  </si>
  <si>
    <t>Issued to Module</t>
  </si>
  <si>
    <t>HOURLY REQ</t>
  </si>
  <si>
    <t>Hourly WIP</t>
  </si>
  <si>
    <t>Start WIP (PC)</t>
  </si>
  <si>
    <t>WIP (PC)</t>
  </si>
  <si>
    <t>08.30am</t>
  </si>
  <si>
    <t>09.45am</t>
  </si>
  <si>
    <t>10.45am</t>
  </si>
  <si>
    <t>11.45am</t>
  </si>
  <si>
    <t>12.45noon</t>
  </si>
  <si>
    <t>01.45pm</t>
  </si>
  <si>
    <t>03.15pm</t>
  </si>
  <si>
    <t>04.15pm</t>
  </si>
  <si>
    <t>05.30pm</t>
  </si>
  <si>
    <t>06.30pm</t>
  </si>
  <si>
    <t>07.30pm</t>
  </si>
  <si>
    <t>1 st Hour</t>
  </si>
  <si>
    <t>2 st Hour</t>
  </si>
  <si>
    <t>3 st Hour</t>
  </si>
  <si>
    <t>4 st Hour</t>
  </si>
  <si>
    <t>5 st Hour</t>
  </si>
  <si>
    <t>6 st Hour</t>
  </si>
  <si>
    <t>7 st Hour</t>
  </si>
  <si>
    <t>8 st Hour</t>
  </si>
  <si>
    <t>9 st Hour</t>
  </si>
  <si>
    <t>10 st Hour</t>
  </si>
  <si>
    <t>11 st Hour</t>
  </si>
  <si>
    <t>itr-out</t>
  </si>
  <si>
    <t>line-in</t>
  </si>
  <si>
    <t>Sec-1-Aqua</t>
  </si>
  <si>
    <t>H101-A</t>
  </si>
  <si>
    <t>CPP</t>
  </si>
  <si>
    <t>H104-A</t>
  </si>
  <si>
    <t>H105-A</t>
  </si>
  <si>
    <t>H114-A</t>
  </si>
  <si>
    <t>Sec-2-Aqua</t>
  </si>
  <si>
    <t>H212-A</t>
  </si>
  <si>
    <t>f</t>
  </si>
  <si>
    <t>H210-A</t>
  </si>
  <si>
    <t>H201-A</t>
  </si>
  <si>
    <t>H108-A</t>
  </si>
  <si>
    <t>H209-A</t>
  </si>
  <si>
    <t>Sec-4-Aqua</t>
  </si>
  <si>
    <t>H413-A</t>
  </si>
  <si>
    <t>H407-A</t>
  </si>
  <si>
    <t>H113-A</t>
  </si>
  <si>
    <t>H217-A</t>
  </si>
  <si>
    <t>H213-A</t>
  </si>
  <si>
    <t>H205-A</t>
  </si>
  <si>
    <t>H216-A</t>
  </si>
  <si>
    <t>H206-A</t>
  </si>
  <si>
    <t>H202-A</t>
  </si>
  <si>
    <t>Sec-3-Aqua</t>
  </si>
  <si>
    <t>H307-A</t>
  </si>
  <si>
    <t>H316-A</t>
  </si>
  <si>
    <t>SAS</t>
  </si>
  <si>
    <t>H215-A</t>
  </si>
  <si>
    <t>H520-A</t>
  </si>
  <si>
    <t>ITR</t>
  </si>
  <si>
    <t>H501-A</t>
  </si>
  <si>
    <t>TOTAL</t>
  </si>
  <si>
    <t>HOURLY MODULE STABILITY DASHBOARD</t>
  </si>
  <si>
    <r>
      <rPr>
        <b/>
        <sz val="14"/>
        <color rgb="FFFF0000"/>
        <rFont val="Aptos Display"/>
        <family val="2"/>
        <scheme val="major"/>
      </rPr>
      <t>MAS</t>
    </r>
    <r>
      <rPr>
        <b/>
        <sz val="14"/>
        <color theme="0"/>
        <rFont val="Tempus Sans ITC"/>
        <family val="5"/>
      </rPr>
      <t xml:space="preserve"> Linea Aqua (Pvt) Ltd.</t>
    </r>
  </si>
  <si>
    <t>H413-A CPP</t>
  </si>
  <si>
    <t>H407-A CPP</t>
  </si>
  <si>
    <t>H113-A CPP</t>
  </si>
  <si>
    <t>H217-A CPP</t>
  </si>
  <si>
    <t>H213-A CPP</t>
  </si>
  <si>
    <t>H205-A CPP</t>
  </si>
  <si>
    <t>H216-A CPP</t>
  </si>
  <si>
    <t>H206-A CPP</t>
  </si>
  <si>
    <t>H202-A CPP</t>
  </si>
  <si>
    <t>H307-A CPP</t>
  </si>
  <si>
    <t>H316-A CPP</t>
  </si>
  <si>
    <t xml:space="preserve">H213-A </t>
  </si>
  <si>
    <t xml:space="preserve">H307-A </t>
  </si>
  <si>
    <t xml:space="preserve">H316-A </t>
  </si>
  <si>
    <t xml:space="preserve">H217-A </t>
  </si>
  <si>
    <t xml:space="preserve">H113-A </t>
  </si>
  <si>
    <t xml:space="preserve">H215-A </t>
  </si>
  <si>
    <t xml:space="preserve">H206-A </t>
  </si>
  <si>
    <t xml:space="preserve">H202-A </t>
  </si>
  <si>
    <t xml:space="preserve">H205-A </t>
  </si>
  <si>
    <t xml:space="preserve">H216-A </t>
  </si>
  <si>
    <t>H215-A CPP</t>
  </si>
  <si>
    <t>H520-A ITR</t>
  </si>
  <si>
    <t>H501-A ITR</t>
  </si>
  <si>
    <t>H101-A CPP</t>
  </si>
  <si>
    <t>H104-A CPP</t>
  </si>
  <si>
    <t>H105-A CPP</t>
  </si>
  <si>
    <t>H114-A CPP</t>
  </si>
  <si>
    <t>H212-A CPP</t>
  </si>
  <si>
    <t>H210-A CPP</t>
  </si>
  <si>
    <t>H201-A CPP</t>
  </si>
  <si>
    <t>H108-A CPP</t>
  </si>
  <si>
    <t>H209-A CPP</t>
  </si>
  <si>
    <t>DR</t>
  </si>
  <si>
    <t>HR</t>
  </si>
  <si>
    <t>WIP</t>
  </si>
  <si>
    <t>WIP&gt;4 hrs</t>
  </si>
  <si>
    <t>WIP&gt;3 hrs and &lt;4 hrs</t>
  </si>
  <si>
    <t>WIP&gt;2 hrs and &lt;3 hrs</t>
  </si>
  <si>
    <t>WIP&lt;2 hrs</t>
  </si>
  <si>
    <t>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</si>
</sst>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4"/>
      <color theme="0"/>
      <name val="Tempus Sans ITC"/>
      <family val="5"/>
    </font>
    <font>
      <b/>
      <sz val="14"/>
      <color rgb="FFFF0000"/>
      <name val="Aptos Display"/>
      <family val="2"/>
      <scheme val="major"/>
    </font>
    <font>
      <b/>
      <sz val="14"/>
      <color theme="0"/>
      <name val="Tempus Sans ITC"/>
      <family val="2"/>
    </font>
    <font>
      <b/>
      <sz val="12"/>
      <color theme="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1" xfId="0" applyBorder="1" applyAlignment="1">
      <alignment wrapText="1"/>
    </xf>
    <xf numFmtId="0" fontId="3" fillId="4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1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 wrapText="1"/>
    </xf>
    <xf numFmtId="0" fontId="3" fillId="5" borderId="1" xfId="0" applyFont="1" applyFill="1" applyBorder="1" applyAlignment="1">
      <alignment wrapText="1"/>
    </xf>
    <xf numFmtId="0" fontId="3" fillId="0" borderId="1" xfId="0" applyFont="1" applyBorder="1" applyAlignment="1">
      <alignment wrapText="1"/>
    </xf>
    <xf numFmtId="1" fontId="3" fillId="0" borderId="1" xfId="0" applyNumberFormat="1" applyFont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1" fontId="3" fillId="0" borderId="1" xfId="0" applyNumberFormat="1" applyFont="1" applyBorder="1" applyAlignment="1">
      <alignment wrapText="1"/>
    </xf>
    <xf numFmtId="0" fontId="3" fillId="0" borderId="1" xfId="0" applyFont="1" applyBorder="1" applyAlignment="1">
      <alignment horizontal="right" wrapText="1"/>
    </xf>
    <xf numFmtId="0" fontId="1" fillId="0" borderId="1" xfId="0" applyFont="1" applyBorder="1" applyAlignment="1">
      <alignment wrapText="1"/>
    </xf>
    <xf numFmtId="0" fontId="0" fillId="5" borderId="1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0" borderId="5" xfId="0" applyBorder="1" applyAlignment="1">
      <alignment wrapText="1"/>
    </xf>
    <xf numFmtId="0" fontId="0" fillId="7" borderId="0" xfId="0" applyFill="1"/>
    <xf numFmtId="0" fontId="0" fillId="6" borderId="0" xfId="0" applyFill="1"/>
    <xf numFmtId="0" fontId="0" fillId="9" borderId="0" xfId="0" applyFill="1"/>
    <xf numFmtId="0" fontId="0" fillId="8" borderId="0" xfId="0" applyFill="1"/>
    <xf numFmtId="0" fontId="0" fillId="10" borderId="0" xfId="0" applyFill="1"/>
    <xf numFmtId="0" fontId="0" fillId="2" borderId="0" xfId="0" applyFill="1"/>
    <xf numFmtId="0" fontId="4" fillId="7" borderId="0" xfId="0" applyFont="1" applyFill="1"/>
    <xf numFmtId="0" fontId="9" fillId="7" borderId="0" xfId="0" applyFont="1" applyFill="1"/>
    <xf numFmtId="0" fontId="0" fillId="0" borderId="6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6" borderId="1" xfId="0" applyFill="1" applyBorder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5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C000"/>
      <color rgb="FF92D050"/>
      <color rgb="FF00B0F0"/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19050</xdr:rowOff>
    </xdr:from>
    <xdr:to>
      <xdr:col>19</xdr:col>
      <xdr:colOff>247650</xdr:colOff>
      <xdr:row>22</xdr:row>
      <xdr:rowOff>127000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50" y="19050"/>
          <a:ext cx="11785600" cy="4159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69850</xdr:colOff>
      <xdr:row>0</xdr:row>
      <xdr:rowOff>31750</xdr:rowOff>
    </xdr:from>
    <xdr:to>
      <xdr:col>0</xdr:col>
      <xdr:colOff>546100</xdr:colOff>
      <xdr:row>1</xdr:row>
      <xdr:rowOff>25400</xdr:rowOff>
    </xdr:to>
    <xdr:sp macro="[0]!RemoveDuplicaterow2" textlink="">
      <xdr:nvSpPr>
        <xdr:cNvPr id="3" name="Rectangle 2">
          <a:extLst>
            <a:ext uri="{FF2B5EF4-FFF2-40B4-BE49-F238E27FC236}">
              <a16:creationId xmlns:a16="http://schemas.microsoft.com/office/drawing/2014/main" id="{3D29368D-8008-4915-9FDD-6BFBAB5B1CC6}"/>
            </a:ext>
          </a:extLst>
        </xdr:cNvPr>
        <xdr:cNvSpPr/>
      </xdr:nvSpPr>
      <xdr:spPr>
        <a:xfrm>
          <a:off x="69850" y="31750"/>
          <a:ext cx="4762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/>
            <a:t>Apply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69850</xdr:colOff>
      <xdr:row>0</xdr:row>
      <xdr:rowOff>31750</xdr:rowOff>
    </xdr:from>
    <xdr:to>
      <xdr:col>0</xdr:col>
      <xdr:colOff>546100</xdr:colOff>
      <xdr:row>1</xdr:row>
      <xdr:rowOff>25400</xdr:rowOff>
    </xdr:to>
    <xdr:sp macro="[1]!ITR" textlink="">
      <xdr:nvSpPr>
        <xdr:cNvPr id="3" name="Rectangle 2">
          <a:extLst>
            <a:ext uri="{FF2B5EF4-FFF2-40B4-BE49-F238E27FC236}">
              <a16:creationId xmlns:a16="http://schemas.microsoft.com/office/drawing/2014/main" id="{D78AD3CA-D411-4299-A310-59EDDF57A728}"/>
            </a:ext>
          </a:extLst>
        </xdr:cNvPr>
        <xdr:cNvSpPr/>
      </xdr:nvSpPr>
      <xdr:spPr>
        <a:xfrm>
          <a:off x="69850" y="31750"/>
          <a:ext cx="4762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/>
            <a:t>Apply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69850</xdr:colOff>
      <xdr:row>0</xdr:row>
      <xdr:rowOff>31750</xdr:rowOff>
    </xdr:from>
    <xdr:to>
      <xdr:col>0</xdr:col>
      <xdr:colOff>546100</xdr:colOff>
      <xdr:row>1</xdr:row>
      <xdr:rowOff>25400</xdr:rowOff>
    </xdr:to>
    <xdr:sp macro="[1]!ITR" textlink="">
      <xdr:nvSpPr>
        <xdr:cNvPr id="4" name="Rectangle 3">
          <a:extLst>
            <a:ext uri="{FF2B5EF4-FFF2-40B4-BE49-F238E27FC236}">
              <a16:creationId xmlns:a16="http://schemas.microsoft.com/office/drawing/2014/main" id="{A176D332-15A6-4329-8FDD-8ED7ADF83EF7}"/>
            </a:ext>
          </a:extLst>
        </xdr:cNvPr>
        <xdr:cNvSpPr/>
      </xdr:nvSpPr>
      <xdr:spPr>
        <a:xfrm>
          <a:off x="69850" y="31750"/>
          <a:ext cx="4762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/>
            <a:t>Apply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alinsa/Desktop/ITR%20WIP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File"/>
      <sheetName val="Display"/>
      <sheetName val="Table"/>
      <sheetName val="ITR WIP Dashboard"/>
    </sheetNames>
    <definedNames>
      <definedName name="IT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2" sqref="D42"/>
    </sheetView>
  </sheetViews>
  <sheetFormatPr defaultRowHeight="13.8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K37"/>
  <sheetViews>
    <sheetView workbookViewId="0">
      <selection sqref="A1:XFD1048576"/>
    </sheetView>
  </sheetViews>
  <sheetFormatPr defaultColWidth="8.69921875" defaultRowHeight="28.95" customHeight="1"/>
  <cols>
    <col min="1" max="3" width="8.69921875" style="3"/>
    <col min="4" max="4" width="15.19921875" style="3" bestFit="1" customWidth="1"/>
    <col min="5" max="5" width="9.69921875" style="3" bestFit="1" customWidth="1"/>
    <col min="6" max="10" width="8.69921875" style="3"/>
    <col min="11" max="11" width="9.09765625" style="3" customWidth="1"/>
    <col min="12" max="31" width="8.69921875" style="3"/>
    <col min="32" max="32" width="0.796875" style="3" customWidth="1"/>
    <col min="33" max="16384" width="8.69921875" style="3"/>
  </cols>
  <sheetData>
    <row r="1" spans="1:36" ht="28.95" customHeight="1">
      <c r="A1" s="28" t="s">
        <v>0</v>
      </c>
      <c r="B1" s="28" t="s">
        <v>1</v>
      </c>
      <c r="C1" s="28" t="s">
        <v>0</v>
      </c>
      <c r="D1" s="1"/>
      <c r="E1" s="28" t="s">
        <v>2</v>
      </c>
      <c r="F1" s="28" t="s">
        <v>3</v>
      </c>
      <c r="G1" s="28" t="s">
        <v>4</v>
      </c>
      <c r="H1" s="28" t="s">
        <v>5</v>
      </c>
      <c r="I1" s="32" t="s">
        <v>6</v>
      </c>
      <c r="J1" s="28" t="s">
        <v>7</v>
      </c>
      <c r="K1" s="28" t="s">
        <v>8</v>
      </c>
      <c r="L1" s="28" t="s">
        <v>9</v>
      </c>
      <c r="M1" s="29" t="s">
        <v>10</v>
      </c>
      <c r="N1" s="30" t="s">
        <v>11</v>
      </c>
      <c r="O1" s="30"/>
      <c r="P1" s="30" t="s">
        <v>12</v>
      </c>
      <c r="Q1" s="30"/>
      <c r="R1" s="30" t="s">
        <v>13</v>
      </c>
      <c r="S1" s="30"/>
      <c r="T1" s="30" t="s">
        <v>14</v>
      </c>
      <c r="U1" s="30"/>
      <c r="V1" s="30" t="s">
        <v>15</v>
      </c>
      <c r="W1" s="30"/>
      <c r="X1" s="30" t="s">
        <v>16</v>
      </c>
      <c r="Y1" s="30"/>
      <c r="Z1" s="30" t="s">
        <v>17</v>
      </c>
      <c r="AA1" s="30"/>
      <c r="AB1" s="30" t="s">
        <v>18</v>
      </c>
      <c r="AC1" s="30"/>
      <c r="AD1" s="30" t="s">
        <v>19</v>
      </c>
      <c r="AE1" s="30"/>
      <c r="AF1" s="2"/>
      <c r="AG1" s="30" t="s">
        <v>20</v>
      </c>
      <c r="AH1" s="30"/>
      <c r="AI1" s="30" t="s">
        <v>21</v>
      </c>
      <c r="AJ1" s="30"/>
    </row>
    <row r="2" spans="1:36" ht="15" customHeight="1">
      <c r="A2" s="28"/>
      <c r="B2" s="28"/>
      <c r="C2" s="28"/>
      <c r="D2" s="4" t="str">
        <f>CONCATENATE(B1,C1)</f>
        <v>MODULE#SECTION</v>
      </c>
      <c r="E2" s="28"/>
      <c r="F2" s="28"/>
      <c r="G2" s="28"/>
      <c r="H2" s="28"/>
      <c r="I2" s="33"/>
      <c r="J2" s="28"/>
      <c r="K2" s="28"/>
      <c r="L2" s="28"/>
      <c r="M2" s="29"/>
      <c r="N2" s="31" t="s">
        <v>22</v>
      </c>
      <c r="O2" s="31"/>
      <c r="P2" s="31" t="s">
        <v>23</v>
      </c>
      <c r="Q2" s="31"/>
      <c r="R2" s="31" t="s">
        <v>24</v>
      </c>
      <c r="S2" s="31"/>
      <c r="T2" s="31" t="s">
        <v>25</v>
      </c>
      <c r="U2" s="31"/>
      <c r="V2" s="31" t="s">
        <v>26</v>
      </c>
      <c r="W2" s="31"/>
      <c r="X2" s="31" t="s">
        <v>27</v>
      </c>
      <c r="Y2" s="31"/>
      <c r="Z2" s="31" t="s">
        <v>28</v>
      </c>
      <c r="AA2" s="31"/>
      <c r="AB2" s="31" t="s">
        <v>29</v>
      </c>
      <c r="AC2" s="31"/>
      <c r="AD2" s="31" t="s">
        <v>30</v>
      </c>
      <c r="AE2" s="31"/>
      <c r="AF2" s="2"/>
      <c r="AG2" s="31" t="s">
        <v>31</v>
      </c>
      <c r="AH2" s="31"/>
      <c r="AI2" s="31" t="s">
        <v>32</v>
      </c>
      <c r="AJ2" s="31"/>
    </row>
    <row r="3" spans="1:36" ht="13.8">
      <c r="A3" s="28"/>
      <c r="B3" s="28"/>
      <c r="C3" s="28"/>
      <c r="D3" s="4"/>
      <c r="E3" s="28"/>
      <c r="F3" s="28"/>
      <c r="G3" s="28"/>
      <c r="H3" s="28"/>
      <c r="I3" s="34"/>
      <c r="J3" s="28"/>
      <c r="K3" s="28"/>
      <c r="L3" s="28"/>
      <c r="M3" s="29"/>
      <c r="N3" s="6" t="s">
        <v>33</v>
      </c>
      <c r="O3" s="5" t="s">
        <v>34</v>
      </c>
      <c r="P3" s="6" t="s">
        <v>33</v>
      </c>
      <c r="Q3" s="5" t="s">
        <v>34</v>
      </c>
      <c r="R3" s="6" t="s">
        <v>33</v>
      </c>
      <c r="S3" s="5" t="s">
        <v>34</v>
      </c>
      <c r="T3" s="6" t="s">
        <v>33</v>
      </c>
      <c r="U3" s="5" t="s">
        <v>34</v>
      </c>
      <c r="V3" s="6" t="s">
        <v>33</v>
      </c>
      <c r="W3" s="5" t="s">
        <v>34</v>
      </c>
      <c r="X3" s="6" t="s">
        <v>33</v>
      </c>
      <c r="Y3" s="5" t="s">
        <v>34</v>
      </c>
      <c r="Z3" s="6" t="s">
        <v>33</v>
      </c>
      <c r="AA3" s="5" t="s">
        <v>34</v>
      </c>
      <c r="AB3" s="6" t="s">
        <v>33</v>
      </c>
      <c r="AC3" s="5" t="s">
        <v>34</v>
      </c>
      <c r="AD3" s="6" t="s">
        <v>33</v>
      </c>
      <c r="AE3" s="5" t="s">
        <v>34</v>
      </c>
      <c r="AF3" s="2"/>
      <c r="AG3" s="6" t="s">
        <v>33</v>
      </c>
      <c r="AH3" s="5" t="s">
        <v>34</v>
      </c>
      <c r="AI3" s="6" t="s">
        <v>33</v>
      </c>
      <c r="AJ3" s="5" t="s">
        <v>34</v>
      </c>
    </row>
    <row r="4" spans="1:36" ht="28.95" customHeight="1">
      <c r="A4" s="7" t="s">
        <v>35</v>
      </c>
      <c r="B4" s="5" t="s">
        <v>36</v>
      </c>
      <c r="C4" s="7" t="s">
        <v>37</v>
      </c>
      <c r="D4" s="7" t="str">
        <f>IFERROR(CONCATENATE(B4," ",C4),"")</f>
        <v>H101-A CPP</v>
      </c>
      <c r="E4" s="7"/>
      <c r="F4" s="7"/>
      <c r="G4" s="7"/>
      <c r="H4" s="5">
        <v>605</v>
      </c>
      <c r="I4" s="5">
        <f>O4+Q4+S4+U4+W4+Y4+AA4+AC4+AE4+AH4+AJ4</f>
        <v>171</v>
      </c>
      <c r="J4" s="8">
        <f>H4/9</f>
        <v>67.222222222222229</v>
      </c>
      <c r="K4" s="8">
        <f>IFERROR(SUM(M4/J4),"")</f>
        <v>-1.0561983471074379</v>
      </c>
      <c r="L4" s="7">
        <v>50</v>
      </c>
      <c r="M4" s="7">
        <f>IFERROR(SUM(N4+P4+R4+T4+V4+X4+Z4+AB4+AD4+AG4+AI4+L4-SUM(O4+Q4+S4+U4+W4+Y4+AA4+AC4+AE4+AH4+AJ4)),"")</f>
        <v>-71</v>
      </c>
      <c r="N4" s="9">
        <v>50</v>
      </c>
      <c r="O4" s="5">
        <v>100</v>
      </c>
      <c r="P4" s="9"/>
      <c r="Q4" s="5">
        <v>46</v>
      </c>
      <c r="R4" s="9"/>
      <c r="S4" s="5">
        <v>10</v>
      </c>
      <c r="T4" s="9"/>
      <c r="U4" s="5">
        <v>15</v>
      </c>
      <c r="V4" s="9"/>
      <c r="W4" s="5"/>
      <c r="X4" s="9"/>
      <c r="Y4" s="5"/>
      <c r="Z4" s="9"/>
      <c r="AA4" s="5"/>
      <c r="AB4" s="9"/>
      <c r="AC4" s="5"/>
      <c r="AD4" s="9"/>
      <c r="AE4" s="5"/>
      <c r="AF4" s="2"/>
      <c r="AG4" s="9"/>
      <c r="AH4" s="5"/>
      <c r="AI4" s="9"/>
      <c r="AJ4" s="5"/>
    </row>
    <row r="5" spans="1:36" ht="26.4">
      <c r="A5" s="7" t="s">
        <v>35</v>
      </c>
      <c r="B5" s="5" t="s">
        <v>38</v>
      </c>
      <c r="C5" s="7" t="s">
        <v>37</v>
      </c>
      <c r="D5" s="7" t="str">
        <f t="shared" ref="D5:D37" si="0">IFERROR(CONCATENATE(B5," ",C5),"")</f>
        <v>H104-A CPP</v>
      </c>
      <c r="E5" s="7"/>
      <c r="F5" s="7"/>
      <c r="G5" s="7"/>
      <c r="H5" s="5">
        <v>440</v>
      </c>
      <c r="I5" s="5">
        <f t="shared" ref="I5:I37" si="1">O5+Q5+S5+U5+W5+Y5+AA5+AC5+AE5+AH5+AJ5</f>
        <v>90</v>
      </c>
      <c r="J5" s="8">
        <f t="shared" ref="J5:J37" si="2">H5/9</f>
        <v>48.888888888888886</v>
      </c>
      <c r="K5" s="8">
        <f>IFERROR(SUM(M5/J5),"")</f>
        <v>-0.30681818181818182</v>
      </c>
      <c r="L5" s="7">
        <v>25</v>
      </c>
      <c r="M5" s="7">
        <f t="shared" ref="M5:M37" si="3">IFERROR(SUM(N5+P5+R5+T5+V5+X5+Z5+AB5+AD5+AG5+AI5+L5-SUM(O5+Q5+S5+U5+W5+Y5+AA5+AC5+AE5+AH5+AJ5)),"")</f>
        <v>-15</v>
      </c>
      <c r="N5" s="9">
        <v>50</v>
      </c>
      <c r="O5" s="5">
        <v>70</v>
      </c>
      <c r="P5" s="9"/>
      <c r="Q5" s="5">
        <v>20</v>
      </c>
      <c r="R5" s="9"/>
      <c r="S5" s="5"/>
      <c r="T5" s="9"/>
      <c r="U5" s="5"/>
      <c r="V5" s="9"/>
      <c r="W5" s="5"/>
      <c r="X5" s="9"/>
      <c r="Y5" s="5"/>
      <c r="Z5" s="9"/>
      <c r="AA5" s="5"/>
      <c r="AB5" s="9"/>
      <c r="AC5" s="5"/>
      <c r="AD5" s="9"/>
      <c r="AE5" s="5"/>
      <c r="AF5" s="2"/>
      <c r="AG5" s="9"/>
      <c r="AH5" s="5"/>
      <c r="AI5" s="9"/>
      <c r="AJ5" s="5"/>
    </row>
    <row r="6" spans="1:36" ht="26.4">
      <c r="A6" s="7" t="s">
        <v>35</v>
      </c>
      <c r="B6" s="5" t="s">
        <v>39</v>
      </c>
      <c r="C6" s="7" t="s">
        <v>37</v>
      </c>
      <c r="D6" s="7" t="str">
        <f t="shared" si="0"/>
        <v>H105-A CPP</v>
      </c>
      <c r="E6" s="7"/>
      <c r="F6" s="7"/>
      <c r="G6" s="7"/>
      <c r="H6" s="5">
        <v>550</v>
      </c>
      <c r="I6" s="5">
        <f t="shared" si="1"/>
        <v>148</v>
      </c>
      <c r="J6" s="8">
        <f>H6/9</f>
        <v>61.111111111111114</v>
      </c>
      <c r="K6" s="8">
        <f t="shared" ref="K6:K16" si="4">IFERROR(SUM(M6/J6),"")</f>
        <v>3.2727272727272723E-2</v>
      </c>
      <c r="L6" s="7">
        <v>100</v>
      </c>
      <c r="M6" s="7">
        <f t="shared" si="3"/>
        <v>2</v>
      </c>
      <c r="N6" s="9">
        <v>50</v>
      </c>
      <c r="O6" s="5">
        <v>50</v>
      </c>
      <c r="P6" s="9"/>
      <c r="Q6" s="5">
        <v>98</v>
      </c>
      <c r="R6" s="9"/>
      <c r="S6" s="5"/>
      <c r="T6" s="9"/>
      <c r="U6" s="5"/>
      <c r="V6" s="9"/>
      <c r="W6" s="5"/>
      <c r="X6" s="9"/>
      <c r="Y6" s="5"/>
      <c r="Z6" s="9"/>
      <c r="AA6" s="5"/>
      <c r="AB6" s="9"/>
      <c r="AC6" s="5"/>
      <c r="AD6" s="9"/>
      <c r="AE6" s="5"/>
      <c r="AF6" s="2"/>
      <c r="AG6" s="9"/>
      <c r="AH6" s="5"/>
      <c r="AI6" s="9"/>
      <c r="AJ6" s="5"/>
    </row>
    <row r="7" spans="1:36" ht="26.4">
      <c r="A7" s="7" t="s">
        <v>35</v>
      </c>
      <c r="B7" s="5" t="s">
        <v>40</v>
      </c>
      <c r="C7" s="7" t="s">
        <v>37</v>
      </c>
      <c r="D7" s="7" t="str">
        <f t="shared" si="0"/>
        <v>H114-A CPP</v>
      </c>
      <c r="E7" s="7"/>
      <c r="F7" s="7"/>
      <c r="G7" s="7"/>
      <c r="H7" s="5">
        <v>495</v>
      </c>
      <c r="I7" s="5">
        <f t="shared" si="1"/>
        <v>277</v>
      </c>
      <c r="J7" s="8">
        <f t="shared" si="2"/>
        <v>55</v>
      </c>
      <c r="K7" s="8">
        <f t="shared" si="4"/>
        <v>-3.5454545454545454</v>
      </c>
      <c r="L7" s="7">
        <v>50</v>
      </c>
      <c r="M7" s="7">
        <f t="shared" si="3"/>
        <v>-195</v>
      </c>
      <c r="N7" s="9">
        <v>32</v>
      </c>
      <c r="O7" s="5">
        <v>65</v>
      </c>
      <c r="P7" s="9"/>
      <c r="Q7" s="5">
        <v>40</v>
      </c>
      <c r="R7" s="9"/>
      <c r="S7" s="5">
        <v>40</v>
      </c>
      <c r="T7" s="9"/>
      <c r="U7" s="5">
        <v>39</v>
      </c>
      <c r="V7" s="9"/>
      <c r="W7" s="5">
        <v>93</v>
      </c>
      <c r="X7" s="9"/>
      <c r="Y7" s="5"/>
      <c r="Z7" s="9"/>
      <c r="AA7" s="5"/>
      <c r="AB7" s="9"/>
      <c r="AC7" s="5"/>
      <c r="AD7" s="9"/>
      <c r="AE7" s="5"/>
      <c r="AF7" s="2"/>
      <c r="AG7" s="9"/>
      <c r="AH7" s="5"/>
      <c r="AI7" s="9"/>
      <c r="AJ7" s="5"/>
    </row>
    <row r="8" spans="1:36" ht="26.4">
      <c r="A8" s="7" t="s">
        <v>41</v>
      </c>
      <c r="B8" s="5" t="s">
        <v>42</v>
      </c>
      <c r="C8" s="7" t="s">
        <v>37</v>
      </c>
      <c r="D8" s="7" t="str">
        <f t="shared" si="0"/>
        <v>H212-A CPP</v>
      </c>
      <c r="E8" s="7"/>
      <c r="F8" s="7"/>
      <c r="G8" s="7"/>
      <c r="H8" s="5">
        <v>416</v>
      </c>
      <c r="I8" s="5">
        <f t="shared" si="1"/>
        <v>0</v>
      </c>
      <c r="J8" s="8">
        <f t="shared" si="2"/>
        <v>46.222222222222221</v>
      </c>
      <c r="K8" s="8" t="str">
        <f t="shared" si="4"/>
        <v/>
      </c>
      <c r="L8" s="10">
        <v>100</v>
      </c>
      <c r="M8" s="7" t="str">
        <f t="shared" si="3"/>
        <v/>
      </c>
      <c r="N8" s="9" t="s">
        <v>43</v>
      </c>
      <c r="O8" s="5">
        <v>0</v>
      </c>
      <c r="P8" s="9"/>
      <c r="Q8" s="5">
        <v>0</v>
      </c>
      <c r="R8" s="9"/>
      <c r="S8" s="5"/>
      <c r="T8" s="9"/>
      <c r="U8" s="5"/>
      <c r="V8" s="9"/>
      <c r="W8" s="5"/>
      <c r="X8" s="9"/>
      <c r="Y8" s="5"/>
      <c r="Z8" s="9"/>
      <c r="AA8" s="5"/>
      <c r="AB8" s="9"/>
      <c r="AC8" s="5"/>
      <c r="AD8" s="9"/>
      <c r="AE8" s="5"/>
      <c r="AF8" s="2"/>
      <c r="AG8" s="9"/>
      <c r="AH8" s="5"/>
      <c r="AI8" s="9"/>
      <c r="AJ8" s="5"/>
    </row>
    <row r="9" spans="1:36" ht="26.4">
      <c r="A9" s="7" t="s">
        <v>41</v>
      </c>
      <c r="B9" s="5" t="s">
        <v>44</v>
      </c>
      <c r="C9" s="7" t="s">
        <v>37</v>
      </c>
      <c r="D9" s="7" t="str">
        <f t="shared" si="0"/>
        <v>H210-A CPP</v>
      </c>
      <c r="E9" s="7"/>
      <c r="F9" s="7"/>
      <c r="G9" s="7"/>
      <c r="H9" s="5">
        <v>448</v>
      </c>
      <c r="I9" s="5">
        <f t="shared" si="1"/>
        <v>160</v>
      </c>
      <c r="J9" s="8">
        <f t="shared" si="2"/>
        <v>49.777777777777779</v>
      </c>
      <c r="K9" s="8">
        <f t="shared" si="4"/>
        <v>-1.2053571428571428</v>
      </c>
      <c r="L9" s="7">
        <v>50</v>
      </c>
      <c r="M9" s="7">
        <f t="shared" si="3"/>
        <v>-60</v>
      </c>
      <c r="N9" s="9">
        <v>50</v>
      </c>
      <c r="O9" s="5">
        <v>50</v>
      </c>
      <c r="P9" s="9"/>
      <c r="Q9" s="5">
        <v>60</v>
      </c>
      <c r="R9" s="9"/>
      <c r="S9" s="5">
        <v>50</v>
      </c>
      <c r="T9" s="9"/>
      <c r="U9" s="5"/>
      <c r="V9" s="9"/>
      <c r="W9" s="5"/>
      <c r="X9" s="9"/>
      <c r="Y9" s="5"/>
      <c r="Z9" s="9"/>
      <c r="AA9" s="5"/>
      <c r="AB9" s="9"/>
      <c r="AC9" s="5"/>
      <c r="AD9" s="9"/>
      <c r="AE9" s="5"/>
      <c r="AF9" s="2"/>
      <c r="AG9" s="9"/>
      <c r="AH9" s="5"/>
      <c r="AI9" s="9"/>
      <c r="AJ9" s="5"/>
    </row>
    <row r="10" spans="1:36" ht="26.4">
      <c r="A10" s="7" t="s">
        <v>41</v>
      </c>
      <c r="B10" s="5" t="s">
        <v>45</v>
      </c>
      <c r="C10" s="7" t="s">
        <v>37</v>
      </c>
      <c r="D10" s="7" t="str">
        <f t="shared" si="0"/>
        <v>H201-A CPP</v>
      </c>
      <c r="E10" s="7"/>
      <c r="F10" s="7"/>
      <c r="G10" s="7"/>
      <c r="H10" s="5">
        <v>244</v>
      </c>
      <c r="I10" s="5">
        <f t="shared" si="1"/>
        <v>79</v>
      </c>
      <c r="J10" s="8">
        <f t="shared" si="2"/>
        <v>27.111111111111111</v>
      </c>
      <c r="K10" s="8">
        <f t="shared" si="4"/>
        <v>4.4631147540983607</v>
      </c>
      <c r="L10" s="7">
        <v>150</v>
      </c>
      <c r="M10" s="7">
        <f t="shared" si="3"/>
        <v>121</v>
      </c>
      <c r="N10" s="9">
        <v>50</v>
      </c>
      <c r="O10" s="5">
        <v>60</v>
      </c>
      <c r="P10" s="9"/>
      <c r="Q10" s="5">
        <v>0</v>
      </c>
      <c r="R10" s="9"/>
      <c r="S10" s="5"/>
      <c r="T10" s="9"/>
      <c r="U10" s="5">
        <v>19</v>
      </c>
      <c r="V10" s="9"/>
      <c r="W10" s="5"/>
      <c r="X10" s="9"/>
      <c r="Y10" s="5"/>
      <c r="Z10" s="9"/>
      <c r="AA10" s="5"/>
      <c r="AB10" s="9"/>
      <c r="AC10" s="5"/>
      <c r="AD10" s="9"/>
      <c r="AE10" s="5"/>
      <c r="AF10" s="2"/>
      <c r="AG10" s="9"/>
      <c r="AH10" s="5"/>
      <c r="AI10" s="9"/>
      <c r="AJ10" s="5"/>
    </row>
    <row r="11" spans="1:36" ht="26.4">
      <c r="A11" s="7" t="s">
        <v>35</v>
      </c>
      <c r="B11" s="5" t="s">
        <v>46</v>
      </c>
      <c r="C11" s="7" t="s">
        <v>37</v>
      </c>
      <c r="D11" s="7" t="str">
        <f t="shared" si="0"/>
        <v>H108-A CPP</v>
      </c>
      <c r="E11" s="7"/>
      <c r="F11" s="7"/>
      <c r="G11" s="7"/>
      <c r="H11" s="5">
        <v>121</v>
      </c>
      <c r="I11" s="5">
        <f t="shared" si="1"/>
        <v>0</v>
      </c>
      <c r="J11" s="8">
        <f t="shared" si="2"/>
        <v>13.444444444444445</v>
      </c>
      <c r="K11" s="8" t="str">
        <f t="shared" si="4"/>
        <v/>
      </c>
      <c r="L11" s="7">
        <v>50</v>
      </c>
      <c r="M11" s="7" t="str">
        <f t="shared" si="3"/>
        <v/>
      </c>
      <c r="N11" s="9" t="s">
        <v>43</v>
      </c>
      <c r="O11" s="5">
        <v>0</v>
      </c>
      <c r="P11" s="9"/>
      <c r="Q11" s="5">
        <v>0</v>
      </c>
      <c r="R11" s="9"/>
      <c r="S11" s="5"/>
      <c r="T11" s="9"/>
      <c r="U11" s="5"/>
      <c r="V11" s="9"/>
      <c r="W11" s="5"/>
      <c r="X11" s="9"/>
      <c r="Y11" s="5"/>
      <c r="Z11" s="9"/>
      <c r="AA11" s="5"/>
      <c r="AB11" s="9"/>
      <c r="AC11" s="5"/>
      <c r="AD11" s="9"/>
      <c r="AE11" s="5"/>
      <c r="AF11" s="2"/>
      <c r="AG11" s="9"/>
      <c r="AH11" s="5"/>
      <c r="AI11" s="9"/>
      <c r="AJ11" s="5"/>
    </row>
    <row r="12" spans="1:36" ht="26.4">
      <c r="A12" s="7" t="s">
        <v>41</v>
      </c>
      <c r="B12" s="5" t="s">
        <v>47</v>
      </c>
      <c r="C12" s="7" t="s">
        <v>37</v>
      </c>
      <c r="D12" s="7" t="str">
        <f t="shared" si="0"/>
        <v>H209-A CPP</v>
      </c>
      <c r="E12" s="7"/>
      <c r="F12" s="7"/>
      <c r="G12" s="7"/>
      <c r="H12" s="5">
        <v>586</v>
      </c>
      <c r="I12" s="5">
        <f t="shared" si="1"/>
        <v>284</v>
      </c>
      <c r="J12" s="8">
        <f t="shared" si="2"/>
        <v>65.111111111111114</v>
      </c>
      <c r="K12" s="8">
        <f t="shared" si="4"/>
        <v>-3.5938566552901023</v>
      </c>
      <c r="L12" s="7">
        <v>50</v>
      </c>
      <c r="M12" s="7">
        <f t="shared" si="3"/>
        <v>-234</v>
      </c>
      <c r="N12" s="9">
        <v>0</v>
      </c>
      <c r="O12" s="5">
        <v>45</v>
      </c>
      <c r="P12" s="9"/>
      <c r="Q12" s="5">
        <v>74</v>
      </c>
      <c r="R12" s="9"/>
      <c r="S12" s="5">
        <v>50</v>
      </c>
      <c r="T12" s="9"/>
      <c r="U12" s="5">
        <v>75</v>
      </c>
      <c r="V12" s="9"/>
      <c r="W12" s="5">
        <v>40</v>
      </c>
      <c r="X12" s="9"/>
      <c r="Y12" s="5"/>
      <c r="Z12" s="9"/>
      <c r="AA12" s="5"/>
      <c r="AB12" s="9"/>
      <c r="AC12" s="5"/>
      <c r="AD12" s="9"/>
      <c r="AE12" s="5"/>
      <c r="AF12" s="2"/>
      <c r="AG12" s="9"/>
      <c r="AH12" s="5"/>
      <c r="AI12" s="9"/>
      <c r="AJ12" s="5"/>
    </row>
    <row r="13" spans="1:36" ht="26.4">
      <c r="A13" s="7" t="s">
        <v>48</v>
      </c>
      <c r="B13" s="5" t="s">
        <v>49</v>
      </c>
      <c r="C13" s="7" t="s">
        <v>37</v>
      </c>
      <c r="D13" s="7" t="str">
        <f t="shared" si="0"/>
        <v>H413-A CPP</v>
      </c>
      <c r="E13" s="7"/>
      <c r="F13" s="7"/>
      <c r="G13" s="7"/>
      <c r="H13" s="5">
        <v>240</v>
      </c>
      <c r="I13" s="5">
        <f t="shared" si="1"/>
        <v>55</v>
      </c>
      <c r="J13" s="8">
        <f t="shared" si="2"/>
        <v>26.666666666666668</v>
      </c>
      <c r="K13" s="8">
        <f t="shared" si="4"/>
        <v>-0.33749999999999997</v>
      </c>
      <c r="L13" s="7">
        <v>25</v>
      </c>
      <c r="M13" s="7">
        <f t="shared" si="3"/>
        <v>-9</v>
      </c>
      <c r="N13" s="9">
        <v>21</v>
      </c>
      <c r="O13" s="5">
        <v>21</v>
      </c>
      <c r="P13" s="9"/>
      <c r="Q13" s="5">
        <v>34</v>
      </c>
      <c r="R13" s="9"/>
      <c r="S13" s="5"/>
      <c r="T13" s="9"/>
      <c r="U13" s="5"/>
      <c r="V13" s="9"/>
      <c r="W13" s="5"/>
      <c r="X13" s="9"/>
      <c r="Y13" s="5"/>
      <c r="Z13" s="9"/>
      <c r="AA13" s="5"/>
      <c r="AB13" s="9"/>
      <c r="AC13" s="5"/>
      <c r="AD13" s="9"/>
      <c r="AE13" s="5"/>
      <c r="AF13" s="2"/>
      <c r="AG13" s="9"/>
      <c r="AH13" s="5"/>
      <c r="AI13" s="9"/>
      <c r="AJ13" s="5"/>
    </row>
    <row r="14" spans="1:36" ht="26.4">
      <c r="A14" s="7" t="s">
        <v>48</v>
      </c>
      <c r="B14" s="5" t="s">
        <v>50</v>
      </c>
      <c r="C14" s="7" t="s">
        <v>37</v>
      </c>
      <c r="D14" s="7" t="str">
        <f t="shared" si="0"/>
        <v>H407-A CPP</v>
      </c>
      <c r="E14" s="7"/>
      <c r="F14" s="7"/>
      <c r="G14" s="7"/>
      <c r="H14" s="5">
        <v>640</v>
      </c>
      <c r="I14" s="5">
        <f t="shared" si="1"/>
        <v>64</v>
      </c>
      <c r="J14" s="8">
        <f t="shared" si="2"/>
        <v>71.111111111111114</v>
      </c>
      <c r="K14" s="8" t="str">
        <f t="shared" si="4"/>
        <v/>
      </c>
      <c r="L14" s="10">
        <v>200</v>
      </c>
      <c r="M14" s="7" t="str">
        <f t="shared" si="3"/>
        <v/>
      </c>
      <c r="N14" s="9" t="s">
        <v>43</v>
      </c>
      <c r="O14" s="5">
        <v>64</v>
      </c>
      <c r="P14" s="9"/>
      <c r="Q14" s="5">
        <v>0</v>
      </c>
      <c r="R14" s="9"/>
      <c r="S14" s="5"/>
      <c r="T14" s="9"/>
      <c r="U14" s="5"/>
      <c r="V14" s="9"/>
      <c r="W14" s="5"/>
      <c r="X14" s="9"/>
      <c r="Y14" s="5"/>
      <c r="Z14" s="9"/>
      <c r="AA14" s="5"/>
      <c r="AB14" s="9"/>
      <c r="AC14" s="5"/>
      <c r="AD14" s="9"/>
      <c r="AE14" s="5"/>
      <c r="AF14" s="2"/>
      <c r="AG14" s="9"/>
      <c r="AH14" s="5"/>
      <c r="AI14" s="9"/>
      <c r="AJ14" s="5"/>
    </row>
    <row r="15" spans="1:36" ht="26.4">
      <c r="A15" s="7" t="s">
        <v>35</v>
      </c>
      <c r="B15" s="5" t="s">
        <v>51</v>
      </c>
      <c r="C15" s="7" t="s">
        <v>37</v>
      </c>
      <c r="D15" s="7" t="str">
        <f t="shared" si="0"/>
        <v>H113-A CPP</v>
      </c>
      <c r="E15" s="7"/>
      <c r="F15" s="7"/>
      <c r="G15" s="7"/>
      <c r="H15" s="5">
        <v>810</v>
      </c>
      <c r="I15" s="5">
        <f t="shared" si="1"/>
        <v>250</v>
      </c>
      <c r="J15" s="8">
        <f t="shared" si="2"/>
        <v>90</v>
      </c>
      <c r="K15" s="8">
        <f t="shared" si="4"/>
        <v>-0.33333333333333331</v>
      </c>
      <c r="L15" s="7">
        <v>100</v>
      </c>
      <c r="M15" s="7">
        <f t="shared" si="3"/>
        <v>-30</v>
      </c>
      <c r="N15" s="9">
        <v>120</v>
      </c>
      <c r="O15" s="5">
        <v>220</v>
      </c>
      <c r="P15" s="9"/>
      <c r="Q15" s="5">
        <v>30</v>
      </c>
      <c r="R15" s="9"/>
      <c r="S15" s="5"/>
      <c r="T15" s="9"/>
      <c r="U15" s="5"/>
      <c r="V15" s="9"/>
      <c r="W15" s="5"/>
      <c r="X15" s="9"/>
      <c r="Y15" s="5"/>
      <c r="Z15" s="9"/>
      <c r="AA15" s="5"/>
      <c r="AB15" s="9"/>
      <c r="AC15" s="5"/>
      <c r="AD15" s="9"/>
      <c r="AE15" s="5"/>
      <c r="AF15" s="2"/>
      <c r="AG15" s="9"/>
      <c r="AH15" s="5"/>
      <c r="AI15" s="9"/>
      <c r="AJ15" s="5"/>
    </row>
    <row r="16" spans="1:36" ht="26.4">
      <c r="A16" s="7" t="s">
        <v>41</v>
      </c>
      <c r="B16" s="5" t="s">
        <v>52</v>
      </c>
      <c r="C16" s="7" t="s">
        <v>37</v>
      </c>
      <c r="D16" s="7" t="str">
        <f t="shared" si="0"/>
        <v>H217-A CPP</v>
      </c>
      <c r="E16" s="7"/>
      <c r="F16" s="7"/>
      <c r="G16" s="7"/>
      <c r="H16" s="5">
        <v>810</v>
      </c>
      <c r="I16" s="5">
        <f t="shared" si="1"/>
        <v>156</v>
      </c>
      <c r="J16" s="8">
        <f t="shared" si="2"/>
        <v>90</v>
      </c>
      <c r="K16" s="8">
        <f t="shared" si="4"/>
        <v>0.17777777777777778</v>
      </c>
      <c r="L16" s="7">
        <v>100</v>
      </c>
      <c r="M16" s="7">
        <f t="shared" si="3"/>
        <v>16</v>
      </c>
      <c r="N16" s="9">
        <v>72</v>
      </c>
      <c r="O16" s="5">
        <v>56</v>
      </c>
      <c r="P16" s="9"/>
      <c r="Q16" s="5">
        <v>100</v>
      </c>
      <c r="R16" s="9"/>
      <c r="S16" s="5"/>
      <c r="T16" s="9"/>
      <c r="U16" s="5"/>
      <c r="V16" s="9"/>
      <c r="W16" s="5"/>
      <c r="X16" s="9"/>
      <c r="Y16" s="5"/>
      <c r="Z16" s="9"/>
      <c r="AA16" s="5"/>
      <c r="AB16" s="9"/>
      <c r="AC16" s="5"/>
      <c r="AD16" s="9"/>
      <c r="AE16" s="5"/>
      <c r="AF16" s="2"/>
      <c r="AG16" s="9"/>
      <c r="AH16" s="5"/>
      <c r="AI16" s="9"/>
      <c r="AJ16" s="5"/>
    </row>
    <row r="17" spans="1:36" ht="26.4">
      <c r="A17" s="7" t="s">
        <v>41</v>
      </c>
      <c r="B17" s="5" t="s">
        <v>53</v>
      </c>
      <c r="C17" s="7" t="s">
        <v>37</v>
      </c>
      <c r="D17" s="7" t="str">
        <f t="shared" si="0"/>
        <v>H213-A CPP</v>
      </c>
      <c r="E17" s="7"/>
      <c r="F17" s="7"/>
      <c r="G17" s="7"/>
      <c r="H17" s="5">
        <v>810</v>
      </c>
      <c r="I17" s="5">
        <f t="shared" si="1"/>
        <v>100</v>
      </c>
      <c r="J17" s="8">
        <f t="shared" si="2"/>
        <v>90</v>
      </c>
      <c r="K17" s="8">
        <f t="shared" ref="K17:K37" si="5">IFERROR(SUM(M17/J17),"")</f>
        <v>0.85555555555555551</v>
      </c>
      <c r="L17" s="7">
        <v>100</v>
      </c>
      <c r="M17" s="7">
        <f t="shared" si="3"/>
        <v>77</v>
      </c>
      <c r="N17" s="9">
        <v>77</v>
      </c>
      <c r="O17" s="5">
        <v>0</v>
      </c>
      <c r="P17" s="9"/>
      <c r="Q17" s="5">
        <v>100</v>
      </c>
      <c r="R17" s="9"/>
      <c r="S17" s="5"/>
      <c r="T17" s="9"/>
      <c r="U17" s="5"/>
      <c r="V17" s="9"/>
      <c r="W17" s="5"/>
      <c r="X17" s="9"/>
      <c r="Y17" s="5"/>
      <c r="Z17" s="9"/>
      <c r="AA17" s="5"/>
      <c r="AB17" s="9"/>
      <c r="AC17" s="5"/>
      <c r="AD17" s="9"/>
      <c r="AE17" s="5"/>
      <c r="AF17" s="2"/>
      <c r="AG17" s="9"/>
      <c r="AH17" s="5"/>
      <c r="AI17" s="9"/>
      <c r="AJ17" s="5"/>
    </row>
    <row r="18" spans="1:36" ht="26.4">
      <c r="A18" s="7" t="s">
        <v>41</v>
      </c>
      <c r="B18" s="5" t="s">
        <v>54</v>
      </c>
      <c r="C18" s="7" t="s">
        <v>37</v>
      </c>
      <c r="D18" s="7" t="str">
        <f t="shared" si="0"/>
        <v>H205-A CPP</v>
      </c>
      <c r="E18" s="7"/>
      <c r="F18" s="7"/>
      <c r="G18" s="7"/>
      <c r="H18" s="5">
        <v>810</v>
      </c>
      <c r="I18" s="5">
        <f t="shared" si="1"/>
        <v>204</v>
      </c>
      <c r="J18" s="8">
        <f t="shared" si="2"/>
        <v>90</v>
      </c>
      <c r="K18" s="8">
        <f t="shared" si="5"/>
        <v>-0.35555555555555557</v>
      </c>
      <c r="L18" s="11">
        <v>100</v>
      </c>
      <c r="M18" s="7">
        <f t="shared" si="3"/>
        <v>-32</v>
      </c>
      <c r="N18" s="9">
        <v>72</v>
      </c>
      <c r="O18" s="5">
        <v>130</v>
      </c>
      <c r="P18" s="9"/>
      <c r="Q18" s="5">
        <v>74</v>
      </c>
      <c r="R18" s="9"/>
      <c r="S18" s="5"/>
      <c r="T18" s="9"/>
      <c r="U18" s="5"/>
      <c r="V18" s="9"/>
      <c r="W18" s="5"/>
      <c r="X18" s="9"/>
      <c r="Y18" s="5"/>
      <c r="Z18" s="9"/>
      <c r="AA18" s="5"/>
      <c r="AB18" s="9"/>
      <c r="AC18" s="5"/>
      <c r="AD18" s="9"/>
      <c r="AE18" s="5"/>
      <c r="AF18" s="2"/>
      <c r="AG18" s="9"/>
      <c r="AH18" s="5"/>
      <c r="AI18" s="9"/>
      <c r="AJ18" s="5"/>
    </row>
    <row r="19" spans="1:36" ht="26.4">
      <c r="A19" s="7" t="s">
        <v>41</v>
      </c>
      <c r="B19" s="5" t="s">
        <v>55</v>
      </c>
      <c r="C19" s="7" t="s">
        <v>37</v>
      </c>
      <c r="D19" s="7" t="str">
        <f t="shared" si="0"/>
        <v>H216-A CPP</v>
      </c>
      <c r="E19" s="7"/>
      <c r="F19" s="7"/>
      <c r="G19" s="7"/>
      <c r="H19" s="5">
        <v>810</v>
      </c>
      <c r="I19" s="5">
        <f t="shared" si="1"/>
        <v>300</v>
      </c>
      <c r="J19" s="8">
        <f t="shared" si="2"/>
        <v>90</v>
      </c>
      <c r="K19" s="8">
        <f t="shared" si="5"/>
        <v>-2.2222222222222223</v>
      </c>
      <c r="L19" s="11">
        <v>100</v>
      </c>
      <c r="M19" s="7">
        <f t="shared" si="3"/>
        <v>-200</v>
      </c>
      <c r="N19" s="9"/>
      <c r="O19" s="5">
        <v>100</v>
      </c>
      <c r="P19" s="9"/>
      <c r="Q19" s="5">
        <v>0</v>
      </c>
      <c r="R19" s="9"/>
      <c r="S19" s="5">
        <v>200</v>
      </c>
      <c r="T19" s="9"/>
      <c r="U19" s="5"/>
      <c r="V19" s="9"/>
      <c r="W19" s="5"/>
      <c r="X19" s="9"/>
      <c r="Y19" s="5"/>
      <c r="Z19" s="9"/>
      <c r="AA19" s="5"/>
      <c r="AB19" s="9"/>
      <c r="AC19" s="5"/>
      <c r="AD19" s="9"/>
      <c r="AE19" s="5"/>
      <c r="AF19" s="2"/>
      <c r="AG19" s="9"/>
      <c r="AH19" s="5"/>
      <c r="AI19" s="9"/>
      <c r="AJ19" s="5"/>
    </row>
    <row r="20" spans="1:36" ht="26.4">
      <c r="A20" s="7" t="s">
        <v>41</v>
      </c>
      <c r="B20" s="5" t="s">
        <v>56</v>
      </c>
      <c r="C20" s="7" t="s">
        <v>37</v>
      </c>
      <c r="D20" s="7" t="str">
        <f t="shared" si="0"/>
        <v>H206-A CPP</v>
      </c>
      <c r="E20" s="7"/>
      <c r="F20" s="7"/>
      <c r="G20" s="7"/>
      <c r="H20" s="5">
        <v>810</v>
      </c>
      <c r="I20" s="5">
        <f t="shared" si="1"/>
        <v>372</v>
      </c>
      <c r="J20" s="8">
        <f t="shared" si="2"/>
        <v>90</v>
      </c>
      <c r="K20" s="8">
        <f t="shared" si="5"/>
        <v>-2.2222222222222223</v>
      </c>
      <c r="L20" s="11">
        <v>100</v>
      </c>
      <c r="M20" s="7">
        <f t="shared" si="3"/>
        <v>-200</v>
      </c>
      <c r="N20" s="9">
        <v>72</v>
      </c>
      <c r="O20" s="5">
        <v>172</v>
      </c>
      <c r="P20" s="9"/>
      <c r="Q20" s="5">
        <v>100</v>
      </c>
      <c r="R20" s="9"/>
      <c r="S20" s="5">
        <v>100</v>
      </c>
      <c r="T20" s="9"/>
      <c r="U20" s="5"/>
      <c r="V20" s="9"/>
      <c r="W20" s="5"/>
      <c r="X20" s="9"/>
      <c r="Y20" s="5"/>
      <c r="Z20" s="9"/>
      <c r="AA20" s="5"/>
      <c r="AB20" s="9"/>
      <c r="AC20" s="5"/>
      <c r="AD20" s="9"/>
      <c r="AE20" s="5"/>
      <c r="AF20" s="2"/>
      <c r="AG20" s="9"/>
      <c r="AH20" s="5"/>
      <c r="AI20" s="9"/>
      <c r="AJ20" s="5"/>
    </row>
    <row r="21" spans="1:36" ht="26.4">
      <c r="A21" s="7" t="s">
        <v>41</v>
      </c>
      <c r="B21" s="5" t="s">
        <v>57</v>
      </c>
      <c r="C21" s="7" t="s">
        <v>37</v>
      </c>
      <c r="D21" s="7" t="str">
        <f t="shared" si="0"/>
        <v>H202-A CPP</v>
      </c>
      <c r="E21" s="7"/>
      <c r="F21" s="7"/>
      <c r="G21" s="7"/>
      <c r="H21" s="5">
        <v>810</v>
      </c>
      <c r="I21" s="5">
        <f t="shared" si="1"/>
        <v>133</v>
      </c>
      <c r="J21" s="8">
        <f t="shared" si="2"/>
        <v>90</v>
      </c>
      <c r="K21" s="8">
        <f t="shared" si="5"/>
        <v>0.4777777777777778</v>
      </c>
      <c r="L21" s="11">
        <v>100</v>
      </c>
      <c r="M21" s="7">
        <f t="shared" si="3"/>
        <v>43</v>
      </c>
      <c r="N21" s="9">
        <v>76</v>
      </c>
      <c r="O21" s="5">
        <v>133</v>
      </c>
      <c r="P21" s="9"/>
      <c r="Q21" s="5">
        <v>0</v>
      </c>
      <c r="R21" s="9"/>
      <c r="S21" s="5"/>
      <c r="T21" s="9"/>
      <c r="U21" s="5"/>
      <c r="V21" s="9"/>
      <c r="W21" s="5"/>
      <c r="X21" s="9"/>
      <c r="Y21" s="5"/>
      <c r="Z21" s="9"/>
      <c r="AA21" s="5"/>
      <c r="AB21" s="9"/>
      <c r="AC21" s="5"/>
      <c r="AD21" s="9"/>
      <c r="AE21" s="5"/>
      <c r="AF21" s="2"/>
      <c r="AG21" s="9"/>
      <c r="AH21" s="5"/>
      <c r="AI21" s="9"/>
      <c r="AJ21" s="5"/>
    </row>
    <row r="22" spans="1:36" ht="26.4">
      <c r="A22" s="7" t="s">
        <v>58</v>
      </c>
      <c r="B22" s="5" t="s">
        <v>59</v>
      </c>
      <c r="C22" s="7" t="s">
        <v>37</v>
      </c>
      <c r="D22" s="7" t="str">
        <f t="shared" si="0"/>
        <v>H307-A CPP</v>
      </c>
      <c r="E22" s="7"/>
      <c r="F22" s="7"/>
      <c r="G22" s="7"/>
      <c r="H22" s="5">
        <v>810</v>
      </c>
      <c r="I22" s="5">
        <f t="shared" si="1"/>
        <v>300</v>
      </c>
      <c r="J22" s="8">
        <f t="shared" si="2"/>
        <v>90</v>
      </c>
      <c r="K22" s="8">
        <f t="shared" si="5"/>
        <v>-2.2222222222222223</v>
      </c>
      <c r="L22" s="11">
        <v>100</v>
      </c>
      <c r="M22" s="7">
        <f t="shared" si="3"/>
        <v>-200</v>
      </c>
      <c r="N22" s="9"/>
      <c r="O22" s="5">
        <v>100</v>
      </c>
      <c r="P22" s="9"/>
      <c r="Q22" s="5">
        <v>200</v>
      </c>
      <c r="R22" s="9"/>
      <c r="S22" s="5"/>
      <c r="T22" s="9"/>
      <c r="U22" s="5"/>
      <c r="V22" s="9"/>
      <c r="W22" s="5"/>
      <c r="X22" s="9"/>
      <c r="Y22" s="5"/>
      <c r="Z22" s="9"/>
      <c r="AA22" s="5"/>
      <c r="AB22" s="9"/>
      <c r="AC22" s="5"/>
      <c r="AD22" s="9"/>
      <c r="AE22" s="5"/>
      <c r="AF22" s="2"/>
      <c r="AG22" s="9"/>
      <c r="AH22" s="5"/>
      <c r="AI22" s="9"/>
      <c r="AJ22" s="5"/>
    </row>
    <row r="23" spans="1:36" ht="26.4">
      <c r="A23" s="7" t="s">
        <v>58</v>
      </c>
      <c r="B23" s="5" t="s">
        <v>60</v>
      </c>
      <c r="C23" s="7" t="s">
        <v>37</v>
      </c>
      <c r="D23" s="7" t="str">
        <f t="shared" si="0"/>
        <v>H316-A CPP</v>
      </c>
      <c r="E23" s="7"/>
      <c r="F23" s="7"/>
      <c r="G23" s="7"/>
      <c r="H23" s="5">
        <v>810</v>
      </c>
      <c r="I23" s="5">
        <f t="shared" si="1"/>
        <v>100</v>
      </c>
      <c r="J23" s="8">
        <f t="shared" si="2"/>
        <v>90</v>
      </c>
      <c r="K23" s="8">
        <f t="shared" si="5"/>
        <v>0.85555555555555551</v>
      </c>
      <c r="L23" s="11">
        <v>100</v>
      </c>
      <c r="M23" s="7">
        <f t="shared" si="3"/>
        <v>77</v>
      </c>
      <c r="N23" s="9">
        <v>77</v>
      </c>
      <c r="O23" s="5">
        <v>100</v>
      </c>
      <c r="P23" s="9"/>
      <c r="Q23" s="5">
        <v>0</v>
      </c>
      <c r="R23" s="9"/>
      <c r="S23" s="5"/>
      <c r="T23" s="9"/>
      <c r="U23" s="5"/>
      <c r="V23" s="9"/>
      <c r="W23" s="5"/>
      <c r="X23" s="9"/>
      <c r="Y23" s="5"/>
      <c r="Z23" s="9"/>
      <c r="AA23" s="5"/>
      <c r="AB23" s="9"/>
      <c r="AC23" s="5"/>
      <c r="AD23" s="9"/>
      <c r="AE23" s="5"/>
      <c r="AF23" s="2"/>
      <c r="AG23" s="9"/>
      <c r="AH23" s="5"/>
      <c r="AI23" s="9"/>
      <c r="AJ23" s="5"/>
    </row>
    <row r="24" spans="1:36" ht="26.4">
      <c r="A24" s="7" t="s">
        <v>41</v>
      </c>
      <c r="B24" s="5" t="s">
        <v>53</v>
      </c>
      <c r="C24" s="7"/>
      <c r="D24" s="7" t="str">
        <f t="shared" si="0"/>
        <v xml:space="preserve">H213-A </v>
      </c>
      <c r="E24" s="7" t="s">
        <v>61</v>
      </c>
      <c r="F24" s="7"/>
      <c r="G24" s="7"/>
      <c r="H24" s="5">
        <v>810</v>
      </c>
      <c r="I24" s="5">
        <f t="shared" si="1"/>
        <v>200</v>
      </c>
      <c r="J24" s="8">
        <f t="shared" si="2"/>
        <v>90</v>
      </c>
      <c r="K24" s="8">
        <f t="shared" si="5"/>
        <v>0</v>
      </c>
      <c r="L24" s="11">
        <v>100</v>
      </c>
      <c r="M24" s="7">
        <f t="shared" si="3"/>
        <v>0</v>
      </c>
      <c r="N24" s="9">
        <v>100</v>
      </c>
      <c r="O24" s="5">
        <v>200</v>
      </c>
      <c r="P24" s="9"/>
      <c r="Q24" s="5"/>
      <c r="R24" s="9"/>
      <c r="S24" s="5"/>
      <c r="T24" s="9"/>
      <c r="U24" s="5"/>
      <c r="V24" s="9"/>
      <c r="W24" s="5"/>
      <c r="X24" s="9"/>
      <c r="Y24" s="5"/>
      <c r="Z24" s="9"/>
      <c r="AA24" s="5"/>
      <c r="AB24" s="9"/>
      <c r="AC24" s="5"/>
      <c r="AD24" s="9"/>
      <c r="AE24" s="5"/>
      <c r="AF24" s="2"/>
      <c r="AG24" s="9"/>
      <c r="AH24" s="5"/>
      <c r="AI24" s="9"/>
      <c r="AJ24" s="5"/>
    </row>
    <row r="25" spans="1:36" ht="26.4">
      <c r="A25" s="7" t="s">
        <v>58</v>
      </c>
      <c r="B25" s="5" t="s">
        <v>59</v>
      </c>
      <c r="C25" s="7"/>
      <c r="D25" s="7" t="str">
        <f t="shared" si="0"/>
        <v xml:space="preserve">H307-A </v>
      </c>
      <c r="E25" s="7"/>
      <c r="F25" s="7"/>
      <c r="G25" s="7"/>
      <c r="H25" s="5">
        <v>810</v>
      </c>
      <c r="I25" s="5">
        <f t="shared" si="1"/>
        <v>450</v>
      </c>
      <c r="J25" s="8">
        <f t="shared" si="2"/>
        <v>90</v>
      </c>
      <c r="K25" s="8">
        <f t="shared" si="5"/>
        <v>-2.7777777777777777</v>
      </c>
      <c r="L25" s="11">
        <v>100</v>
      </c>
      <c r="M25" s="7">
        <f t="shared" si="3"/>
        <v>-250</v>
      </c>
      <c r="N25" s="9">
        <v>100</v>
      </c>
      <c r="O25" s="5">
        <v>200</v>
      </c>
      <c r="P25" s="9"/>
      <c r="Q25" s="5"/>
      <c r="R25" s="9"/>
      <c r="S25" s="5">
        <v>250</v>
      </c>
      <c r="T25" s="9"/>
      <c r="U25" s="5"/>
      <c r="V25" s="9"/>
      <c r="W25" s="5"/>
      <c r="X25" s="9"/>
      <c r="Y25" s="5"/>
      <c r="Z25" s="9"/>
      <c r="AA25" s="5"/>
      <c r="AB25" s="9"/>
      <c r="AC25" s="5"/>
      <c r="AD25" s="9"/>
      <c r="AE25" s="5"/>
      <c r="AF25" s="2"/>
      <c r="AG25" s="9"/>
      <c r="AH25" s="5"/>
      <c r="AI25" s="9"/>
      <c r="AJ25" s="5"/>
    </row>
    <row r="26" spans="1:36" ht="26.4">
      <c r="A26" s="7" t="s">
        <v>58</v>
      </c>
      <c r="B26" s="5" t="s">
        <v>60</v>
      </c>
      <c r="C26" s="7"/>
      <c r="D26" s="7" t="str">
        <f t="shared" si="0"/>
        <v xml:space="preserve">H316-A </v>
      </c>
      <c r="E26" s="7"/>
      <c r="F26" s="7"/>
      <c r="G26" s="7"/>
      <c r="H26" s="5">
        <v>810</v>
      </c>
      <c r="I26" s="5">
        <f t="shared" si="1"/>
        <v>850</v>
      </c>
      <c r="J26" s="8">
        <f t="shared" si="2"/>
        <v>90</v>
      </c>
      <c r="K26" s="8">
        <f t="shared" si="5"/>
        <v>-7.2222222222222223</v>
      </c>
      <c r="L26" s="7">
        <v>50</v>
      </c>
      <c r="M26" s="7">
        <f t="shared" si="3"/>
        <v>-650</v>
      </c>
      <c r="N26" s="9">
        <v>150</v>
      </c>
      <c r="O26" s="5">
        <v>200</v>
      </c>
      <c r="P26" s="9"/>
      <c r="Q26" s="5">
        <v>250</v>
      </c>
      <c r="R26" s="9"/>
      <c r="S26" s="5">
        <v>400</v>
      </c>
      <c r="T26" s="9"/>
      <c r="U26" s="5"/>
      <c r="V26" s="9"/>
      <c r="W26" s="5"/>
      <c r="X26" s="9"/>
      <c r="Y26" s="5"/>
      <c r="Z26" s="9"/>
      <c r="AA26" s="5"/>
      <c r="AB26" s="9"/>
      <c r="AC26" s="5"/>
      <c r="AD26" s="9"/>
      <c r="AE26" s="5"/>
      <c r="AF26" s="2"/>
      <c r="AG26" s="9"/>
      <c r="AH26" s="5"/>
      <c r="AI26" s="9"/>
      <c r="AJ26" s="5"/>
    </row>
    <row r="27" spans="1:36" ht="26.4">
      <c r="A27" s="7" t="s">
        <v>41</v>
      </c>
      <c r="B27" s="5" t="s">
        <v>52</v>
      </c>
      <c r="C27" s="7"/>
      <c r="D27" s="7" t="str">
        <f t="shared" si="0"/>
        <v xml:space="preserve">H217-A </v>
      </c>
      <c r="E27" s="7"/>
      <c r="F27" s="7"/>
      <c r="G27" s="7"/>
      <c r="H27" s="5">
        <v>810</v>
      </c>
      <c r="I27" s="5">
        <f t="shared" si="1"/>
        <v>300</v>
      </c>
      <c r="J27" s="8">
        <f t="shared" si="2"/>
        <v>90</v>
      </c>
      <c r="K27" s="8">
        <f t="shared" si="5"/>
        <v>-1.6666666666666667</v>
      </c>
      <c r="L27" s="7">
        <v>50</v>
      </c>
      <c r="M27" s="7">
        <f t="shared" si="3"/>
        <v>-150</v>
      </c>
      <c r="N27" s="9">
        <v>100</v>
      </c>
      <c r="O27" s="5">
        <v>100</v>
      </c>
      <c r="P27" s="9"/>
      <c r="Q27" s="5"/>
      <c r="R27" s="9"/>
      <c r="S27" s="5">
        <v>200</v>
      </c>
      <c r="T27" s="9"/>
      <c r="U27" s="5"/>
      <c r="V27" s="9"/>
      <c r="W27" s="5"/>
      <c r="X27" s="9"/>
      <c r="Y27" s="5"/>
      <c r="Z27" s="9"/>
      <c r="AA27" s="5"/>
      <c r="AB27" s="9"/>
      <c r="AC27" s="5"/>
      <c r="AD27" s="6"/>
      <c r="AE27" s="5"/>
      <c r="AF27" s="2"/>
      <c r="AG27" s="6"/>
      <c r="AH27" s="5"/>
      <c r="AI27" s="9"/>
      <c r="AJ27" s="5"/>
    </row>
    <row r="28" spans="1:36" ht="26.4">
      <c r="A28" s="7" t="s">
        <v>35</v>
      </c>
      <c r="B28" s="5" t="s">
        <v>51</v>
      </c>
      <c r="C28" s="7"/>
      <c r="D28" s="7" t="str">
        <f t="shared" si="0"/>
        <v xml:space="preserve">H113-A </v>
      </c>
      <c r="E28" s="7"/>
      <c r="F28" s="7"/>
      <c r="G28" s="7"/>
      <c r="H28" s="5">
        <v>810</v>
      </c>
      <c r="I28" s="5">
        <f t="shared" si="1"/>
        <v>200</v>
      </c>
      <c r="J28" s="8">
        <f t="shared" si="2"/>
        <v>90</v>
      </c>
      <c r="K28" s="8">
        <f t="shared" si="5"/>
        <v>0</v>
      </c>
      <c r="L28" s="7">
        <v>100</v>
      </c>
      <c r="M28" s="7">
        <f t="shared" si="3"/>
        <v>0</v>
      </c>
      <c r="N28" s="9">
        <v>100</v>
      </c>
      <c r="O28" s="5">
        <v>100</v>
      </c>
      <c r="P28" s="9"/>
      <c r="Q28" s="5">
        <v>100</v>
      </c>
      <c r="R28" s="9"/>
      <c r="S28" s="5"/>
      <c r="T28" s="6"/>
      <c r="U28" s="7"/>
      <c r="V28" s="9"/>
      <c r="W28" s="7"/>
      <c r="X28" s="6"/>
      <c r="Y28" s="7"/>
      <c r="Z28" s="6"/>
      <c r="AA28" s="7"/>
      <c r="AB28" s="6"/>
      <c r="AC28" s="7"/>
      <c r="AD28" s="6"/>
      <c r="AE28" s="7"/>
      <c r="AF28" s="2"/>
      <c r="AG28" s="6"/>
      <c r="AH28" s="7"/>
      <c r="AI28" s="6"/>
      <c r="AJ28" s="7"/>
    </row>
    <row r="29" spans="1:36" ht="13.8">
      <c r="A29" s="7"/>
      <c r="B29" s="5" t="s">
        <v>62</v>
      </c>
      <c r="C29" s="7"/>
      <c r="D29" s="7" t="str">
        <f t="shared" si="0"/>
        <v xml:space="preserve">H215-A </v>
      </c>
      <c r="E29" s="7"/>
      <c r="F29" s="7"/>
      <c r="G29" s="7"/>
      <c r="H29" s="5">
        <v>810</v>
      </c>
      <c r="I29" s="5">
        <f t="shared" si="1"/>
        <v>200</v>
      </c>
      <c r="J29" s="8">
        <f t="shared" si="2"/>
        <v>90</v>
      </c>
      <c r="K29" s="8">
        <f t="shared" si="5"/>
        <v>-0.55555555555555558</v>
      </c>
      <c r="L29" s="7">
        <v>50</v>
      </c>
      <c r="M29" s="7">
        <f t="shared" si="3"/>
        <v>-50</v>
      </c>
      <c r="N29" s="9">
        <v>100</v>
      </c>
      <c r="O29" s="5">
        <v>0</v>
      </c>
      <c r="P29" s="9"/>
      <c r="Q29" s="5">
        <v>100</v>
      </c>
      <c r="R29" s="6"/>
      <c r="S29" s="7">
        <v>100</v>
      </c>
      <c r="T29" s="6"/>
      <c r="U29" s="7"/>
      <c r="V29" s="6"/>
      <c r="W29" s="7"/>
      <c r="X29" s="6"/>
      <c r="Y29" s="7"/>
      <c r="Z29" s="6"/>
      <c r="AA29" s="7"/>
      <c r="AB29" s="6"/>
      <c r="AC29" s="7"/>
      <c r="AD29" s="6"/>
      <c r="AE29" s="7"/>
      <c r="AF29" s="2"/>
      <c r="AG29" s="6"/>
      <c r="AH29" s="7"/>
      <c r="AI29" s="6"/>
      <c r="AJ29" s="7"/>
    </row>
    <row r="30" spans="1:36" ht="13.8">
      <c r="A30" s="7"/>
      <c r="B30" s="5" t="s">
        <v>56</v>
      </c>
      <c r="C30" s="7"/>
      <c r="D30" s="7" t="str">
        <f t="shared" si="0"/>
        <v xml:space="preserve">H206-A </v>
      </c>
      <c r="E30" s="7"/>
      <c r="F30" s="7"/>
      <c r="G30" s="7"/>
      <c r="H30" s="5">
        <v>810</v>
      </c>
      <c r="I30" s="5">
        <f t="shared" si="1"/>
        <v>400</v>
      </c>
      <c r="J30" s="8">
        <f t="shared" si="2"/>
        <v>90</v>
      </c>
      <c r="K30" s="8">
        <f t="shared" si="5"/>
        <v>0</v>
      </c>
      <c r="L30" s="7">
        <v>100</v>
      </c>
      <c r="M30" s="7">
        <f t="shared" si="3"/>
        <v>0</v>
      </c>
      <c r="N30" s="9">
        <v>300</v>
      </c>
      <c r="O30" s="5">
        <v>400</v>
      </c>
      <c r="P30" s="9"/>
      <c r="Q30" s="5"/>
      <c r="R30" s="6"/>
      <c r="S30" s="7"/>
      <c r="T30" s="6"/>
      <c r="U30" s="7"/>
      <c r="V30" s="6"/>
      <c r="W30" s="7"/>
      <c r="X30" s="6"/>
      <c r="Y30" s="7"/>
      <c r="Z30" s="6"/>
      <c r="AA30" s="7"/>
      <c r="AB30" s="6"/>
      <c r="AC30" s="7"/>
      <c r="AD30" s="6"/>
      <c r="AE30" s="7"/>
      <c r="AF30" s="2"/>
      <c r="AG30" s="6"/>
      <c r="AH30" s="7"/>
      <c r="AI30" s="6"/>
      <c r="AJ30" s="7"/>
    </row>
    <row r="31" spans="1:36" ht="13.8">
      <c r="A31" s="7"/>
      <c r="B31" s="5" t="s">
        <v>57</v>
      </c>
      <c r="C31" s="7"/>
      <c r="D31" s="7" t="str">
        <f t="shared" si="0"/>
        <v xml:space="preserve">H202-A </v>
      </c>
      <c r="E31" s="7"/>
      <c r="F31" s="7"/>
      <c r="G31" s="7"/>
      <c r="H31" s="5">
        <v>810</v>
      </c>
      <c r="I31" s="5">
        <f t="shared" si="1"/>
        <v>400</v>
      </c>
      <c r="J31" s="8">
        <f t="shared" si="2"/>
        <v>90</v>
      </c>
      <c r="K31" s="8">
        <f t="shared" si="5"/>
        <v>0</v>
      </c>
      <c r="L31" s="7">
        <v>100</v>
      </c>
      <c r="M31" s="7">
        <f t="shared" si="3"/>
        <v>0</v>
      </c>
      <c r="N31" s="9">
        <v>300</v>
      </c>
      <c r="O31" s="5">
        <v>400</v>
      </c>
      <c r="P31" s="9"/>
      <c r="Q31" s="5"/>
      <c r="R31" s="6"/>
      <c r="S31" s="7"/>
      <c r="T31" s="6"/>
      <c r="U31" s="7"/>
      <c r="V31" s="6"/>
      <c r="W31" s="7"/>
      <c r="X31" s="6"/>
      <c r="Y31" s="7"/>
      <c r="Z31" s="6"/>
      <c r="AA31" s="7"/>
      <c r="AB31" s="6"/>
      <c r="AC31" s="7"/>
      <c r="AD31" s="6"/>
      <c r="AE31" s="7"/>
      <c r="AF31" s="2"/>
      <c r="AG31" s="6"/>
      <c r="AH31" s="7"/>
      <c r="AI31" s="6"/>
      <c r="AJ31" s="7"/>
    </row>
    <row r="32" spans="1:36" ht="13.8">
      <c r="A32" s="7"/>
      <c r="B32" s="5" t="s">
        <v>54</v>
      </c>
      <c r="C32" s="7"/>
      <c r="D32" s="7" t="str">
        <f t="shared" si="0"/>
        <v xml:space="preserve">H205-A </v>
      </c>
      <c r="E32" s="7"/>
      <c r="F32" s="7"/>
      <c r="G32" s="7"/>
      <c r="H32" s="5">
        <v>810</v>
      </c>
      <c r="I32" s="5">
        <f t="shared" si="1"/>
        <v>300</v>
      </c>
      <c r="J32" s="8">
        <f t="shared" si="2"/>
        <v>90</v>
      </c>
      <c r="K32" s="8">
        <f t="shared" si="5"/>
        <v>0</v>
      </c>
      <c r="L32" s="7"/>
      <c r="M32" s="7">
        <f t="shared" si="3"/>
        <v>0</v>
      </c>
      <c r="N32" s="9">
        <v>300</v>
      </c>
      <c r="O32" s="5">
        <v>300</v>
      </c>
      <c r="P32" s="9"/>
      <c r="Q32" s="5"/>
      <c r="R32" s="6"/>
      <c r="S32" s="7"/>
      <c r="T32" s="6"/>
      <c r="U32" s="7"/>
      <c r="V32" s="6"/>
      <c r="W32" s="7"/>
      <c r="X32" s="6"/>
      <c r="Y32" s="7"/>
      <c r="Z32" s="6"/>
      <c r="AA32" s="7"/>
      <c r="AB32" s="6"/>
      <c r="AC32" s="7"/>
      <c r="AD32" s="6"/>
      <c r="AE32" s="7"/>
      <c r="AF32" s="2"/>
      <c r="AG32" s="6"/>
      <c r="AH32" s="7"/>
      <c r="AI32" s="6"/>
      <c r="AJ32" s="7"/>
    </row>
    <row r="33" spans="1:37" s="1" customFormat="1" ht="13.8">
      <c r="A33" s="12"/>
      <c r="B33" s="5" t="s">
        <v>55</v>
      </c>
      <c r="C33" s="7"/>
      <c r="D33" s="7" t="str">
        <f t="shared" si="0"/>
        <v xml:space="preserve">H216-A </v>
      </c>
      <c r="H33" s="5">
        <v>810</v>
      </c>
      <c r="I33" s="5">
        <f t="shared" si="1"/>
        <v>350</v>
      </c>
      <c r="J33" s="8">
        <f t="shared" si="2"/>
        <v>90</v>
      </c>
      <c r="K33" s="8">
        <f t="shared" si="5"/>
        <v>-1.6666666666666667</v>
      </c>
      <c r="L33" s="1">
        <v>50</v>
      </c>
      <c r="M33" s="7">
        <f t="shared" si="3"/>
        <v>-150</v>
      </c>
      <c r="N33" s="9">
        <v>150</v>
      </c>
      <c r="O33" s="5">
        <v>50</v>
      </c>
      <c r="P33" s="9"/>
      <c r="Q33" s="5">
        <v>200</v>
      </c>
      <c r="R33" s="13"/>
      <c r="S33" s="1">
        <v>100</v>
      </c>
      <c r="T33" s="13"/>
      <c r="V33" s="13"/>
      <c r="X33" s="13"/>
      <c r="Z33" s="13"/>
      <c r="AB33" s="13"/>
      <c r="AD33" s="13"/>
      <c r="AF33" s="14"/>
      <c r="AG33" s="13"/>
      <c r="AI33" s="13"/>
      <c r="AK33" s="15"/>
    </row>
    <row r="34" spans="1:37" ht="13.8">
      <c r="A34" s="1"/>
      <c r="B34" s="1" t="s">
        <v>62</v>
      </c>
      <c r="C34" s="7" t="s">
        <v>37</v>
      </c>
      <c r="D34" s="7" t="str">
        <f t="shared" si="0"/>
        <v>H215-A CPP</v>
      </c>
      <c r="E34" s="1"/>
      <c r="F34" s="1"/>
      <c r="G34" s="1"/>
      <c r="H34" s="5">
        <v>810</v>
      </c>
      <c r="I34" s="5">
        <f t="shared" si="1"/>
        <v>62</v>
      </c>
      <c r="J34" s="8">
        <f t="shared" si="2"/>
        <v>90</v>
      </c>
      <c r="K34" s="8">
        <f t="shared" si="5"/>
        <v>0.42222222222222222</v>
      </c>
      <c r="L34" s="7">
        <v>100</v>
      </c>
      <c r="M34" s="7">
        <f t="shared" si="3"/>
        <v>38</v>
      </c>
      <c r="N34" s="1"/>
      <c r="O34" s="1"/>
      <c r="P34" s="1"/>
      <c r="Q34" s="1">
        <v>62</v>
      </c>
      <c r="R34" s="1"/>
      <c r="S34" s="1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7" ht="13.8">
      <c r="A35" s="1"/>
      <c r="B35" s="1" t="s">
        <v>63</v>
      </c>
      <c r="C35" s="7" t="s">
        <v>64</v>
      </c>
      <c r="D35" s="7" t="str">
        <f t="shared" si="0"/>
        <v>H520-A ITR</v>
      </c>
      <c r="E35" s="1"/>
      <c r="F35" s="1"/>
      <c r="G35" s="1"/>
      <c r="H35" s="5">
        <v>810</v>
      </c>
      <c r="I35" s="5">
        <f t="shared" si="1"/>
        <v>0</v>
      </c>
      <c r="J35" s="8">
        <f t="shared" si="2"/>
        <v>90</v>
      </c>
      <c r="K35" s="8">
        <f t="shared" si="5"/>
        <v>1.1111111111111112</v>
      </c>
      <c r="L35" s="7">
        <v>100</v>
      </c>
      <c r="M35" s="7">
        <f t="shared" si="3"/>
        <v>100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7" ht="13.8">
      <c r="A36" s="1"/>
      <c r="B36" s="1" t="s">
        <v>65</v>
      </c>
      <c r="C36" s="7" t="s">
        <v>64</v>
      </c>
      <c r="D36" s="7" t="str">
        <f t="shared" si="0"/>
        <v>H501-A ITR</v>
      </c>
      <c r="E36" s="1"/>
      <c r="F36" s="1"/>
      <c r="G36" s="1"/>
      <c r="H36" s="5">
        <v>810</v>
      </c>
      <c r="I36" s="5">
        <f t="shared" si="1"/>
        <v>0</v>
      </c>
      <c r="J36" s="8">
        <f t="shared" si="2"/>
        <v>90</v>
      </c>
      <c r="K36" s="8">
        <f t="shared" si="5"/>
        <v>1.1111111111111112</v>
      </c>
      <c r="L36" s="7">
        <v>100</v>
      </c>
      <c r="M36" s="7">
        <f t="shared" si="3"/>
        <v>100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7" ht="13.8">
      <c r="A37" s="1"/>
      <c r="B37" s="1"/>
      <c r="C37" s="7"/>
      <c r="D37" s="7" t="str">
        <f t="shared" si="0"/>
        <v xml:space="preserve"> </v>
      </c>
      <c r="E37" s="1"/>
      <c r="F37" s="1"/>
      <c r="G37" s="1"/>
      <c r="H37" s="5"/>
      <c r="I37" s="5">
        <f t="shared" si="1"/>
        <v>0</v>
      </c>
      <c r="J37" s="8">
        <f t="shared" si="2"/>
        <v>0</v>
      </c>
      <c r="K37" s="8" t="str">
        <f t="shared" si="5"/>
        <v/>
      </c>
      <c r="L37" s="1"/>
      <c r="M37" s="7">
        <f t="shared" si="3"/>
        <v>0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</sheetData>
  <mergeCells count="34">
    <mergeCell ref="V2:W2"/>
    <mergeCell ref="AI2:AJ2"/>
    <mergeCell ref="Z1:AA1"/>
    <mergeCell ref="AB1:AC1"/>
    <mergeCell ref="AD1:AE1"/>
    <mergeCell ref="AG1:AH1"/>
    <mergeCell ref="AI1:AJ1"/>
    <mergeCell ref="X2:Y2"/>
    <mergeCell ref="Z2:AA2"/>
    <mergeCell ref="AB2:AC2"/>
    <mergeCell ref="AD2:AE2"/>
    <mergeCell ref="AG2:AH2"/>
    <mergeCell ref="X1:Y1"/>
    <mergeCell ref="V1:W1"/>
    <mergeCell ref="H1:H3"/>
    <mergeCell ref="I1:I3"/>
    <mergeCell ref="J1:J3"/>
    <mergeCell ref="K1:K3"/>
    <mergeCell ref="L1:L3"/>
    <mergeCell ref="M1:M3"/>
    <mergeCell ref="N1:O1"/>
    <mergeCell ref="P1:Q1"/>
    <mergeCell ref="R1:S1"/>
    <mergeCell ref="T1:U1"/>
    <mergeCell ref="N2:O2"/>
    <mergeCell ref="P2:Q2"/>
    <mergeCell ref="R2:S2"/>
    <mergeCell ref="T2:U2"/>
    <mergeCell ref="G1:G3"/>
    <mergeCell ref="A1:A3"/>
    <mergeCell ref="B1:B3"/>
    <mergeCell ref="C1:C3"/>
    <mergeCell ref="E1:E3"/>
    <mergeCell ref="F1:F3"/>
  </mergeCells>
  <conditionalFormatting sqref="B1:B1048576">
    <cfRule type="duplicateValues" dxfId="48" priority="1"/>
  </conditionalFormatting>
  <conditionalFormatting sqref="L1:M1 M4:M37">
    <cfRule type="cellIs" dxfId="47" priority="2" operator="greaterThan">
      <formula>120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K100"/>
  <sheetViews>
    <sheetView tabSelected="1" workbookViewId="0">
      <selection activeCell="E5" sqref="E5"/>
    </sheetView>
  </sheetViews>
  <sheetFormatPr defaultColWidth="8.69921875" defaultRowHeight="28.95" customHeight="1"/>
  <cols>
    <col min="1" max="3" width="8.69921875" style="3"/>
    <col min="4" max="4" width="15.19921875" style="3" bestFit="1" customWidth="1"/>
    <col min="5" max="5" width="9.69921875" style="3" bestFit="1" customWidth="1"/>
    <col min="6" max="10" width="8.69921875" style="3"/>
    <col min="11" max="11" width="9.09765625" style="3" customWidth="1"/>
    <col min="12" max="31" width="8.69921875" style="3"/>
    <col min="32" max="32" width="0.796875" style="3" customWidth="1"/>
    <col min="33" max="16384" width="8.69921875" style="3"/>
  </cols>
  <sheetData>
    <row r="1" spans="1:36" ht="28.95" customHeight="1">
      <c r="A1" s="28" t="s">
        <v>0</v>
      </c>
      <c r="B1" s="28" t="s">
        <v>1</v>
      </c>
      <c r="C1" s="28" t="s">
        <v>0</v>
      </c>
      <c r="D1" s="32" t="str">
        <f>CONCATENATE(B1,C1)</f>
        <v>MODULE#SECTION</v>
      </c>
      <c r="E1" s="28" t="s">
        <v>2</v>
      </c>
      <c r="F1" s="28" t="s">
        <v>3</v>
      </c>
      <c r="G1" s="28" t="s">
        <v>4</v>
      </c>
      <c r="H1" s="28" t="s">
        <v>5</v>
      </c>
      <c r="I1" s="32" t="s">
        <v>6</v>
      </c>
      <c r="J1" s="28" t="s">
        <v>7</v>
      </c>
      <c r="K1" s="28" t="s">
        <v>8</v>
      </c>
      <c r="L1" s="28" t="s">
        <v>9</v>
      </c>
      <c r="M1" s="29" t="s">
        <v>10</v>
      </c>
      <c r="N1" s="30" t="s">
        <v>11</v>
      </c>
      <c r="O1" s="30"/>
      <c r="P1" s="30" t="s">
        <v>12</v>
      </c>
      <c r="Q1" s="30"/>
      <c r="R1" s="30" t="s">
        <v>13</v>
      </c>
      <c r="S1" s="30"/>
      <c r="T1" s="30" t="s">
        <v>14</v>
      </c>
      <c r="U1" s="30"/>
      <c r="V1" s="30" t="s">
        <v>15</v>
      </c>
      <c r="W1" s="30"/>
      <c r="X1" s="30" t="s">
        <v>16</v>
      </c>
      <c r="Y1" s="30"/>
      <c r="Z1" s="30" t="s">
        <v>17</v>
      </c>
      <c r="AA1" s="30"/>
      <c r="AB1" s="30" t="s">
        <v>18</v>
      </c>
      <c r="AC1" s="30"/>
      <c r="AD1" s="30" t="s">
        <v>19</v>
      </c>
      <c r="AE1" s="30"/>
      <c r="AF1" s="2"/>
      <c r="AG1" s="30" t="s">
        <v>20</v>
      </c>
      <c r="AH1" s="30"/>
      <c r="AI1" s="30" t="s">
        <v>21</v>
      </c>
      <c r="AJ1" s="30"/>
    </row>
    <row r="2" spans="1:36" ht="15" customHeight="1">
      <c r="A2" s="28"/>
      <c r="B2" s="28"/>
      <c r="C2" s="28"/>
      <c r="D2" s="33"/>
      <c r="E2" s="28"/>
      <c r="F2" s="28"/>
      <c r="G2" s="28"/>
      <c r="H2" s="28"/>
      <c r="I2" s="33"/>
      <c r="J2" s="28"/>
      <c r="K2" s="28"/>
      <c r="L2" s="28"/>
      <c r="M2" s="29"/>
      <c r="N2" s="31" t="s">
        <v>22</v>
      </c>
      <c r="O2" s="31"/>
      <c r="P2" s="31" t="s">
        <v>23</v>
      </c>
      <c r="Q2" s="31"/>
      <c r="R2" s="31" t="s">
        <v>24</v>
      </c>
      <c r="S2" s="31"/>
      <c r="T2" s="31" t="s">
        <v>25</v>
      </c>
      <c r="U2" s="31"/>
      <c r="V2" s="31" t="s">
        <v>26</v>
      </c>
      <c r="W2" s="31"/>
      <c r="X2" s="31" t="s">
        <v>27</v>
      </c>
      <c r="Y2" s="31"/>
      <c r="Z2" s="31" t="s">
        <v>28</v>
      </c>
      <c r="AA2" s="31"/>
      <c r="AB2" s="31" t="s">
        <v>29</v>
      </c>
      <c r="AC2" s="31"/>
      <c r="AD2" s="31" t="s">
        <v>30</v>
      </c>
      <c r="AE2" s="31"/>
      <c r="AF2" s="2"/>
      <c r="AG2" s="31" t="s">
        <v>31</v>
      </c>
      <c r="AH2" s="31"/>
      <c r="AI2" s="31" t="s">
        <v>32</v>
      </c>
      <c r="AJ2" s="31"/>
    </row>
    <row r="3" spans="1:36" ht="13.8">
      <c r="A3" s="28"/>
      <c r="B3" s="28"/>
      <c r="C3" s="28"/>
      <c r="D3" s="34"/>
      <c r="E3" s="28"/>
      <c r="F3" s="28"/>
      <c r="G3" s="28"/>
      <c r="H3" s="28"/>
      <c r="I3" s="34"/>
      <c r="J3" s="28"/>
      <c r="K3" s="28"/>
      <c r="L3" s="28"/>
      <c r="M3" s="29"/>
      <c r="N3" s="6" t="s">
        <v>33</v>
      </c>
      <c r="O3" s="5" t="s">
        <v>34</v>
      </c>
      <c r="P3" s="6" t="s">
        <v>33</v>
      </c>
      <c r="Q3" s="5" t="s">
        <v>34</v>
      </c>
      <c r="R3" s="6" t="s">
        <v>33</v>
      </c>
      <c r="S3" s="5" t="s">
        <v>34</v>
      </c>
      <c r="T3" s="6" t="s">
        <v>33</v>
      </c>
      <c r="U3" s="5" t="s">
        <v>34</v>
      </c>
      <c r="V3" s="6" t="s">
        <v>33</v>
      </c>
      <c r="W3" s="5" t="s">
        <v>34</v>
      </c>
      <c r="X3" s="6" t="s">
        <v>33</v>
      </c>
      <c r="Y3" s="5" t="s">
        <v>34</v>
      </c>
      <c r="Z3" s="6" t="s">
        <v>33</v>
      </c>
      <c r="AA3" s="5" t="s">
        <v>34</v>
      </c>
      <c r="AB3" s="6" t="s">
        <v>33</v>
      </c>
      <c r="AC3" s="5" t="s">
        <v>34</v>
      </c>
      <c r="AD3" s="6" t="s">
        <v>33</v>
      </c>
      <c r="AE3" s="5" t="s">
        <v>34</v>
      </c>
      <c r="AF3" s="2"/>
      <c r="AG3" s="6" t="s">
        <v>33</v>
      </c>
      <c r="AH3" s="5" t="s">
        <v>34</v>
      </c>
      <c r="AI3" s="6" t="s">
        <v>33</v>
      </c>
      <c r="AJ3" s="5" t="s">
        <v>34</v>
      </c>
    </row>
    <row r="4" spans="1:36" ht="28.95" customHeight="1">
      <c r="A4" s="7" t="s">
        <v>35</v>
      </c>
      <c r="B4" s="5" t="s">
        <v>36</v>
      </c>
      <c r="C4" s="7" t="s">
        <v>37</v>
      </c>
      <c r="D4" s="7" t="str">
        <f>IFERROR(CONCATENATE(B4," ",C4),"")</f>
        <v>H101-A CPP</v>
      </c>
      <c r="E4" s="7"/>
      <c r="F4" s="7"/>
      <c r="G4" s="7"/>
      <c r="H4" s="5">
        <v>605</v>
      </c>
      <c r="I4" s="5">
        <f>O4+Q4+S4+U4+W4+Y4+AA4+AC4+AE4+AH4+AJ4</f>
        <v>171</v>
      </c>
      <c r="J4" s="8">
        <f>H4/9</f>
        <v>67.222222222222229</v>
      </c>
      <c r="K4" s="8">
        <f>IFERROR(SUM(M4/J4),"")</f>
        <v>-1.0561983471074379</v>
      </c>
      <c r="L4" s="7">
        <v>50</v>
      </c>
      <c r="M4" s="7">
        <f>IFERROR(SUM(N4+P4+R4+T4+V4+X4+Z4+AB4+AD4+AG4+AI4+L4-SUM(O4+Q4+S4+U4+W4+Y4+AA4+AC4+AE4+AH4+AJ4)),"")</f>
        <v>-71</v>
      </c>
      <c r="N4" s="9">
        <v>50</v>
      </c>
      <c r="O4" s="5">
        <v>100</v>
      </c>
      <c r="P4" s="9"/>
      <c r="Q4" s="5">
        <v>46</v>
      </c>
      <c r="R4" s="9"/>
      <c r="S4" s="5">
        <v>10</v>
      </c>
      <c r="T4" s="9"/>
      <c r="U4" s="5">
        <v>15</v>
      </c>
      <c r="V4" s="9"/>
      <c r="W4" s="5"/>
      <c r="X4" s="9"/>
      <c r="Y4" s="5"/>
      <c r="Z4" s="9"/>
      <c r="AA4" s="5"/>
      <c r="AB4" s="9"/>
      <c r="AC4" s="5"/>
      <c r="AD4" s="9"/>
      <c r="AE4" s="5"/>
      <c r="AF4" s="2"/>
      <c r="AG4" s="9"/>
      <c r="AH4" s="5"/>
      <c r="AI4" s="9"/>
      <c r="AJ4" s="5"/>
    </row>
    <row r="5" spans="1:36" ht="26.4">
      <c r="A5" s="7" t="s">
        <v>35</v>
      </c>
      <c r="B5" s="5" t="s">
        <v>38</v>
      </c>
      <c r="C5" s="7" t="s">
        <v>37</v>
      </c>
      <c r="D5" s="7" t="str">
        <f t="shared" ref="D5:D68" si="0">IFERROR(CONCATENATE(B5," ",C5),"")</f>
        <v>H104-A CPP</v>
      </c>
      <c r="E5" s="7"/>
      <c r="F5" s="7"/>
      <c r="G5" s="7"/>
      <c r="H5" s="5">
        <v>440</v>
      </c>
      <c r="I5" s="5">
        <f t="shared" ref="I5:I68" si="1">O5+Q5+S5+U5+W5+Y5+AA5+AC5+AE5+AH5+AJ5</f>
        <v>90</v>
      </c>
      <c r="J5" s="8">
        <f t="shared" ref="J5:J68" si="2">H5/9</f>
        <v>48.888888888888886</v>
      </c>
      <c r="K5" s="8">
        <f>IFERROR(SUM(M5/J5),"")</f>
        <v>-0.30681818181818182</v>
      </c>
      <c r="L5" s="7">
        <v>25</v>
      </c>
      <c r="M5" s="7">
        <f t="shared" ref="M5:M68" si="3">IFERROR(SUM(N5+P5+R5+T5+V5+X5+Z5+AB5+AD5+AG5+AI5+L5-SUM(O5+Q5+S5+U5+W5+Y5+AA5+AC5+AE5+AH5+AJ5)),"")</f>
        <v>-15</v>
      </c>
      <c r="N5" s="9">
        <v>50</v>
      </c>
      <c r="O5" s="5">
        <v>70</v>
      </c>
      <c r="P5" s="9"/>
      <c r="Q5" s="5">
        <v>20</v>
      </c>
      <c r="R5" s="9"/>
      <c r="S5" s="5"/>
      <c r="T5" s="9"/>
      <c r="U5" s="5"/>
      <c r="V5" s="9"/>
      <c r="W5" s="5"/>
      <c r="X5" s="9"/>
      <c r="Y5" s="5"/>
      <c r="Z5" s="9"/>
      <c r="AA5" s="5"/>
      <c r="AB5" s="9"/>
      <c r="AC5" s="5"/>
      <c r="AD5" s="9"/>
      <c r="AE5" s="5"/>
      <c r="AF5" s="2"/>
      <c r="AG5" s="9"/>
      <c r="AH5" s="5"/>
      <c r="AI5" s="9"/>
      <c r="AJ5" s="5"/>
    </row>
    <row r="6" spans="1:36" ht="26.4">
      <c r="A6" s="7" t="s">
        <v>35</v>
      </c>
      <c r="B6" s="5" t="s">
        <v>39</v>
      </c>
      <c r="C6" s="7" t="s">
        <v>37</v>
      </c>
      <c r="D6" s="7" t="str">
        <f t="shared" si="0"/>
        <v>H105-A CPP</v>
      </c>
      <c r="E6" s="7"/>
      <c r="F6" s="7"/>
      <c r="G6" s="7"/>
      <c r="H6" s="5">
        <v>550</v>
      </c>
      <c r="I6" s="5">
        <f t="shared" si="1"/>
        <v>148</v>
      </c>
      <c r="J6" s="8">
        <f>H6/9</f>
        <v>61.111111111111114</v>
      </c>
      <c r="K6" s="8">
        <f t="shared" ref="K6:K16" si="4">IFERROR(SUM(M6/J6),"")</f>
        <v>3.2727272727272723E-2</v>
      </c>
      <c r="L6" s="7">
        <v>100</v>
      </c>
      <c r="M6" s="7">
        <f t="shared" si="3"/>
        <v>2</v>
      </c>
      <c r="N6" s="9">
        <v>50</v>
      </c>
      <c r="O6" s="5">
        <v>50</v>
      </c>
      <c r="P6" s="9"/>
      <c r="Q6" s="5">
        <v>98</v>
      </c>
      <c r="R6" s="9"/>
      <c r="S6" s="5"/>
      <c r="T6" s="9"/>
      <c r="U6" s="5"/>
      <c r="V6" s="9"/>
      <c r="W6" s="5"/>
      <c r="X6" s="9"/>
      <c r="Y6" s="5"/>
      <c r="Z6" s="9"/>
      <c r="AA6" s="5"/>
      <c r="AB6" s="9"/>
      <c r="AC6" s="5"/>
      <c r="AD6" s="9"/>
      <c r="AE6" s="5"/>
      <c r="AF6" s="2"/>
      <c r="AG6" s="9"/>
      <c r="AH6" s="5"/>
      <c r="AI6" s="9"/>
      <c r="AJ6" s="5"/>
    </row>
    <row r="7" spans="1:36" ht="26.4">
      <c r="A7" s="7" t="s">
        <v>35</v>
      </c>
      <c r="B7" s="5" t="s">
        <v>40</v>
      </c>
      <c r="C7" s="7" t="s">
        <v>37</v>
      </c>
      <c r="D7" s="7" t="str">
        <f t="shared" si="0"/>
        <v>H114-A CPP</v>
      </c>
      <c r="E7" s="7"/>
      <c r="F7" s="7"/>
      <c r="G7" s="7"/>
      <c r="H7" s="5">
        <v>495</v>
      </c>
      <c r="I7" s="5">
        <f t="shared" si="1"/>
        <v>277</v>
      </c>
      <c r="J7" s="8">
        <f t="shared" si="2"/>
        <v>55</v>
      </c>
      <c r="K7" s="8">
        <f t="shared" si="4"/>
        <v>-3.5454545454545454</v>
      </c>
      <c r="L7" s="7">
        <v>50</v>
      </c>
      <c r="M7" s="7">
        <f t="shared" si="3"/>
        <v>-195</v>
      </c>
      <c r="N7" s="9">
        <v>32</v>
      </c>
      <c r="O7" s="5">
        <v>65</v>
      </c>
      <c r="P7" s="9"/>
      <c r="Q7" s="5">
        <v>40</v>
      </c>
      <c r="R7" s="9"/>
      <c r="S7" s="5">
        <v>40</v>
      </c>
      <c r="T7" s="9"/>
      <c r="U7" s="5">
        <v>39</v>
      </c>
      <c r="V7" s="9"/>
      <c r="W7" s="5">
        <v>93</v>
      </c>
      <c r="X7" s="9"/>
      <c r="Y7" s="5"/>
      <c r="Z7" s="9"/>
      <c r="AA7" s="5"/>
      <c r="AB7" s="9"/>
      <c r="AC7" s="5"/>
      <c r="AD7" s="9"/>
      <c r="AE7" s="5"/>
      <c r="AF7" s="2"/>
      <c r="AG7" s="9"/>
      <c r="AH7" s="5"/>
      <c r="AI7" s="9"/>
      <c r="AJ7" s="5"/>
    </row>
    <row r="8" spans="1:36" ht="26.4">
      <c r="A8" s="7" t="s">
        <v>41</v>
      </c>
      <c r="B8" s="5" t="s">
        <v>42</v>
      </c>
      <c r="C8" s="7" t="s">
        <v>37</v>
      </c>
      <c r="D8" s="7" t="str">
        <f t="shared" si="0"/>
        <v>H212-A CPP</v>
      </c>
      <c r="E8" s="7"/>
      <c r="F8" s="7"/>
      <c r="G8" s="7"/>
      <c r="H8" s="5">
        <v>416</v>
      </c>
      <c r="I8" s="5">
        <f t="shared" si="1"/>
        <v>0</v>
      </c>
      <c r="J8" s="8">
        <f t="shared" si="2"/>
        <v>46.222222222222221</v>
      </c>
      <c r="K8" s="8" t="str">
        <f t="shared" si="4"/>
        <v/>
      </c>
      <c r="L8" s="10">
        <v>100</v>
      </c>
      <c r="M8" s="7" t="str">
        <f t="shared" si="3"/>
        <v/>
      </c>
      <c r="N8" s="9" t="s">
        <v>43</v>
      </c>
      <c r="O8" s="5">
        <v>0</v>
      </c>
      <c r="P8" s="9"/>
      <c r="Q8" s="5">
        <v>0</v>
      </c>
      <c r="R8" s="9"/>
      <c r="S8" s="5"/>
      <c r="T8" s="9"/>
      <c r="U8" s="5"/>
      <c r="V8" s="9"/>
      <c r="W8" s="5"/>
      <c r="X8" s="9"/>
      <c r="Y8" s="5"/>
      <c r="Z8" s="9"/>
      <c r="AA8" s="5"/>
      <c r="AB8" s="9"/>
      <c r="AC8" s="5"/>
      <c r="AD8" s="9"/>
      <c r="AE8" s="5"/>
      <c r="AF8" s="2"/>
      <c r="AG8" s="9"/>
      <c r="AH8" s="5"/>
      <c r="AI8" s="9"/>
      <c r="AJ8" s="5"/>
    </row>
    <row r="9" spans="1:36" ht="26.4">
      <c r="A9" s="7" t="s">
        <v>41</v>
      </c>
      <c r="B9" s="5" t="s">
        <v>44</v>
      </c>
      <c r="C9" s="7" t="s">
        <v>37</v>
      </c>
      <c r="D9" s="7" t="str">
        <f t="shared" si="0"/>
        <v>H210-A CPP</v>
      </c>
      <c r="E9" s="7"/>
      <c r="F9" s="7"/>
      <c r="G9" s="7"/>
      <c r="H9" s="5">
        <v>448</v>
      </c>
      <c r="I9" s="5">
        <f t="shared" si="1"/>
        <v>160</v>
      </c>
      <c r="J9" s="8">
        <f t="shared" si="2"/>
        <v>49.777777777777779</v>
      </c>
      <c r="K9" s="8">
        <f t="shared" si="4"/>
        <v>-1.2053571428571428</v>
      </c>
      <c r="L9" s="7">
        <v>50</v>
      </c>
      <c r="M9" s="7">
        <f t="shared" si="3"/>
        <v>-60</v>
      </c>
      <c r="N9" s="9">
        <v>50</v>
      </c>
      <c r="O9" s="5">
        <v>50</v>
      </c>
      <c r="P9" s="9"/>
      <c r="Q9" s="5">
        <v>60</v>
      </c>
      <c r="R9" s="9"/>
      <c r="S9" s="5">
        <v>50</v>
      </c>
      <c r="T9" s="9"/>
      <c r="U9" s="5"/>
      <c r="V9" s="9"/>
      <c r="W9" s="5"/>
      <c r="X9" s="9"/>
      <c r="Y9" s="5"/>
      <c r="Z9" s="9"/>
      <c r="AA9" s="5"/>
      <c r="AB9" s="9"/>
      <c r="AC9" s="5"/>
      <c r="AD9" s="9"/>
      <c r="AE9" s="5"/>
      <c r="AF9" s="2"/>
      <c r="AG9" s="9"/>
      <c r="AH9" s="5"/>
      <c r="AI9" s="9"/>
      <c r="AJ9" s="5"/>
    </row>
    <row r="10" spans="1:36" ht="26.4">
      <c r="A10" s="7" t="s">
        <v>41</v>
      </c>
      <c r="B10" s="5" t="s">
        <v>45</v>
      </c>
      <c r="C10" s="7" t="s">
        <v>37</v>
      </c>
      <c r="D10" s="7" t="str">
        <f t="shared" si="0"/>
        <v>H201-A CPP</v>
      </c>
      <c r="E10" s="7"/>
      <c r="F10" s="7"/>
      <c r="G10" s="7"/>
      <c r="H10" s="5">
        <v>244</v>
      </c>
      <c r="I10" s="5">
        <f t="shared" si="1"/>
        <v>79</v>
      </c>
      <c r="J10" s="8">
        <f t="shared" si="2"/>
        <v>27.111111111111111</v>
      </c>
      <c r="K10" s="8">
        <f t="shared" si="4"/>
        <v>4.4631147540983607</v>
      </c>
      <c r="L10" s="7">
        <v>150</v>
      </c>
      <c r="M10" s="7">
        <f t="shared" si="3"/>
        <v>121</v>
      </c>
      <c r="N10" s="9">
        <v>50</v>
      </c>
      <c r="O10" s="5">
        <v>60</v>
      </c>
      <c r="P10" s="9"/>
      <c r="Q10" s="5">
        <v>0</v>
      </c>
      <c r="R10" s="9"/>
      <c r="S10" s="5"/>
      <c r="T10" s="9"/>
      <c r="U10" s="5">
        <v>19</v>
      </c>
      <c r="V10" s="9"/>
      <c r="W10" s="5"/>
      <c r="X10" s="9"/>
      <c r="Y10" s="5"/>
      <c r="Z10" s="9"/>
      <c r="AA10" s="5"/>
      <c r="AB10" s="9"/>
      <c r="AC10" s="5"/>
      <c r="AD10" s="9"/>
      <c r="AE10" s="5"/>
      <c r="AF10" s="2"/>
      <c r="AG10" s="9"/>
      <c r="AH10" s="5"/>
      <c r="AI10" s="9"/>
      <c r="AJ10" s="5"/>
    </row>
    <row r="11" spans="1:36" ht="26.4">
      <c r="A11" s="7" t="s">
        <v>35</v>
      </c>
      <c r="B11" s="5" t="s">
        <v>46</v>
      </c>
      <c r="C11" s="7" t="s">
        <v>37</v>
      </c>
      <c r="D11" s="7" t="str">
        <f t="shared" si="0"/>
        <v>H108-A CPP</v>
      </c>
      <c r="E11" s="7"/>
      <c r="F11" s="7"/>
      <c r="G11" s="7"/>
      <c r="H11" s="5">
        <v>121</v>
      </c>
      <c r="I11" s="5">
        <f t="shared" si="1"/>
        <v>0</v>
      </c>
      <c r="J11" s="8">
        <f t="shared" si="2"/>
        <v>13.444444444444445</v>
      </c>
      <c r="K11" s="8" t="str">
        <f t="shared" si="4"/>
        <v/>
      </c>
      <c r="L11" s="7">
        <v>50</v>
      </c>
      <c r="M11" s="7" t="str">
        <f t="shared" si="3"/>
        <v/>
      </c>
      <c r="N11" s="9" t="s">
        <v>43</v>
      </c>
      <c r="O11" s="5">
        <v>0</v>
      </c>
      <c r="P11" s="9"/>
      <c r="Q11" s="5">
        <v>0</v>
      </c>
      <c r="R11" s="9"/>
      <c r="S11" s="5"/>
      <c r="T11" s="9"/>
      <c r="U11" s="5"/>
      <c r="V11" s="9"/>
      <c r="W11" s="5"/>
      <c r="X11" s="9"/>
      <c r="Y11" s="5"/>
      <c r="Z11" s="9"/>
      <c r="AA11" s="5"/>
      <c r="AB11" s="9"/>
      <c r="AC11" s="5"/>
      <c r="AD11" s="9"/>
      <c r="AE11" s="5"/>
      <c r="AF11" s="2"/>
      <c r="AG11" s="9"/>
      <c r="AH11" s="5"/>
      <c r="AI11" s="9"/>
      <c r="AJ11" s="5"/>
    </row>
    <row r="12" spans="1:36" ht="26.4">
      <c r="A12" s="7" t="s">
        <v>41</v>
      </c>
      <c r="B12" s="5" t="s">
        <v>47</v>
      </c>
      <c r="C12" s="7" t="s">
        <v>37</v>
      </c>
      <c r="D12" s="7" t="str">
        <f t="shared" si="0"/>
        <v>H209-A CPP</v>
      </c>
      <c r="E12" s="7"/>
      <c r="F12" s="7"/>
      <c r="G12" s="7"/>
      <c r="H12" s="5">
        <v>586</v>
      </c>
      <c r="I12" s="5">
        <f t="shared" si="1"/>
        <v>284</v>
      </c>
      <c r="J12" s="8">
        <f t="shared" si="2"/>
        <v>65.111111111111114</v>
      </c>
      <c r="K12" s="8">
        <f t="shared" si="4"/>
        <v>-3.5938566552901023</v>
      </c>
      <c r="L12" s="7">
        <v>50</v>
      </c>
      <c r="M12" s="7">
        <f t="shared" si="3"/>
        <v>-234</v>
      </c>
      <c r="N12" s="9">
        <v>0</v>
      </c>
      <c r="O12" s="5">
        <v>45</v>
      </c>
      <c r="P12" s="9"/>
      <c r="Q12" s="5">
        <v>74</v>
      </c>
      <c r="R12" s="9"/>
      <c r="S12" s="5">
        <v>50</v>
      </c>
      <c r="T12" s="9"/>
      <c r="U12" s="5">
        <v>75</v>
      </c>
      <c r="V12" s="9"/>
      <c r="W12" s="5">
        <v>40</v>
      </c>
      <c r="X12" s="9"/>
      <c r="Y12" s="5"/>
      <c r="Z12" s="9"/>
      <c r="AA12" s="5"/>
      <c r="AB12" s="9"/>
      <c r="AC12" s="5"/>
      <c r="AD12" s="9"/>
      <c r="AE12" s="5"/>
      <c r="AF12" s="2"/>
      <c r="AG12" s="9"/>
      <c r="AH12" s="5"/>
      <c r="AI12" s="9"/>
      <c r="AJ12" s="5"/>
    </row>
    <row r="13" spans="1:36" ht="26.4">
      <c r="A13" s="7" t="s">
        <v>48</v>
      </c>
      <c r="B13" s="5" t="s">
        <v>49</v>
      </c>
      <c r="C13" s="7" t="s">
        <v>37</v>
      </c>
      <c r="D13" s="7" t="str">
        <f t="shared" si="0"/>
        <v>H413-A CPP</v>
      </c>
      <c r="E13" s="7"/>
      <c r="F13" s="7"/>
      <c r="G13" s="7"/>
      <c r="H13" s="5">
        <v>240</v>
      </c>
      <c r="I13" s="5">
        <f t="shared" si="1"/>
        <v>55</v>
      </c>
      <c r="J13" s="8">
        <f t="shared" si="2"/>
        <v>26.666666666666668</v>
      </c>
      <c r="K13" s="8">
        <f t="shared" si="4"/>
        <v>-0.33749999999999997</v>
      </c>
      <c r="L13" s="7">
        <v>25</v>
      </c>
      <c r="M13" s="7">
        <f t="shared" si="3"/>
        <v>-9</v>
      </c>
      <c r="N13" s="9">
        <v>21</v>
      </c>
      <c r="O13" s="5">
        <v>21</v>
      </c>
      <c r="P13" s="9"/>
      <c r="Q13" s="5">
        <v>34</v>
      </c>
      <c r="R13" s="9"/>
      <c r="S13" s="5"/>
      <c r="T13" s="9"/>
      <c r="U13" s="5"/>
      <c r="V13" s="9"/>
      <c r="W13" s="5"/>
      <c r="X13" s="9"/>
      <c r="Y13" s="5"/>
      <c r="Z13" s="9"/>
      <c r="AA13" s="5"/>
      <c r="AB13" s="9"/>
      <c r="AC13" s="5"/>
      <c r="AD13" s="9"/>
      <c r="AE13" s="5"/>
      <c r="AF13" s="2"/>
      <c r="AG13" s="9"/>
      <c r="AH13" s="5"/>
      <c r="AI13" s="9"/>
      <c r="AJ13" s="5"/>
    </row>
    <row r="14" spans="1:36" ht="26.4">
      <c r="A14" s="7" t="s">
        <v>48</v>
      </c>
      <c r="B14" s="5" t="s">
        <v>50</v>
      </c>
      <c r="C14" s="7" t="s">
        <v>37</v>
      </c>
      <c r="D14" s="7" t="str">
        <f t="shared" si="0"/>
        <v>H407-A CPP</v>
      </c>
      <c r="E14" s="7"/>
      <c r="F14" s="7"/>
      <c r="G14" s="7"/>
      <c r="H14" s="5">
        <v>640</v>
      </c>
      <c r="I14" s="5">
        <f t="shared" si="1"/>
        <v>64</v>
      </c>
      <c r="J14" s="8">
        <f t="shared" si="2"/>
        <v>71.111111111111114</v>
      </c>
      <c r="K14" s="8" t="str">
        <f t="shared" si="4"/>
        <v/>
      </c>
      <c r="L14" s="10">
        <v>200</v>
      </c>
      <c r="M14" s="7" t="str">
        <f t="shared" si="3"/>
        <v/>
      </c>
      <c r="N14" s="9" t="s">
        <v>43</v>
      </c>
      <c r="O14" s="5">
        <v>64</v>
      </c>
      <c r="P14" s="9"/>
      <c r="Q14" s="5">
        <v>0</v>
      </c>
      <c r="R14" s="9"/>
      <c r="S14" s="5"/>
      <c r="T14" s="9"/>
      <c r="U14" s="5"/>
      <c r="V14" s="9"/>
      <c r="W14" s="5"/>
      <c r="X14" s="9"/>
      <c r="Y14" s="5"/>
      <c r="Z14" s="9"/>
      <c r="AA14" s="5"/>
      <c r="AB14" s="9"/>
      <c r="AC14" s="5"/>
      <c r="AD14" s="9"/>
      <c r="AE14" s="5"/>
      <c r="AF14" s="2"/>
      <c r="AG14" s="9"/>
      <c r="AH14" s="5"/>
      <c r="AI14" s="9"/>
      <c r="AJ14" s="5"/>
    </row>
    <row r="15" spans="1:36" ht="26.4">
      <c r="A15" s="7" t="s">
        <v>35</v>
      </c>
      <c r="B15" s="5" t="s">
        <v>51</v>
      </c>
      <c r="C15" s="7" t="s">
        <v>37</v>
      </c>
      <c r="D15" s="7" t="str">
        <f t="shared" si="0"/>
        <v>H113-A CPP</v>
      </c>
      <c r="E15" s="7"/>
      <c r="F15" s="7"/>
      <c r="G15" s="7"/>
      <c r="H15" s="5">
        <v>810</v>
      </c>
      <c r="I15" s="5">
        <f t="shared" si="1"/>
        <v>250</v>
      </c>
      <c r="J15" s="8">
        <f t="shared" si="2"/>
        <v>90</v>
      </c>
      <c r="K15" s="8">
        <f t="shared" si="4"/>
        <v>-0.33333333333333331</v>
      </c>
      <c r="L15" s="7">
        <v>100</v>
      </c>
      <c r="M15" s="7">
        <f t="shared" si="3"/>
        <v>-30</v>
      </c>
      <c r="N15" s="9">
        <v>120</v>
      </c>
      <c r="O15" s="5">
        <v>220</v>
      </c>
      <c r="P15" s="9"/>
      <c r="Q15" s="5">
        <v>30</v>
      </c>
      <c r="R15" s="9"/>
      <c r="S15" s="5"/>
      <c r="T15" s="9"/>
      <c r="U15" s="5"/>
      <c r="V15" s="9"/>
      <c r="W15" s="5"/>
      <c r="X15" s="9"/>
      <c r="Y15" s="5"/>
      <c r="Z15" s="9"/>
      <c r="AA15" s="5"/>
      <c r="AB15" s="9"/>
      <c r="AC15" s="5"/>
      <c r="AD15" s="9"/>
      <c r="AE15" s="5"/>
      <c r="AF15" s="2"/>
      <c r="AG15" s="9"/>
      <c r="AH15" s="5"/>
      <c r="AI15" s="9"/>
      <c r="AJ15" s="5"/>
    </row>
    <row r="16" spans="1:36" ht="26.4">
      <c r="A16" s="7" t="s">
        <v>41</v>
      </c>
      <c r="B16" s="5" t="s">
        <v>52</v>
      </c>
      <c r="C16" s="7" t="s">
        <v>37</v>
      </c>
      <c r="D16" s="7" t="str">
        <f t="shared" si="0"/>
        <v>H217-A CPP</v>
      </c>
      <c r="E16" s="7"/>
      <c r="F16" s="7"/>
      <c r="G16" s="7"/>
      <c r="H16" s="5">
        <v>810</v>
      </c>
      <c r="I16" s="5">
        <f t="shared" si="1"/>
        <v>156</v>
      </c>
      <c r="J16" s="8">
        <f t="shared" si="2"/>
        <v>90</v>
      </c>
      <c r="K16" s="8">
        <f t="shared" si="4"/>
        <v>0.17777777777777778</v>
      </c>
      <c r="L16" s="7">
        <v>100</v>
      </c>
      <c r="M16" s="7">
        <f t="shared" si="3"/>
        <v>16</v>
      </c>
      <c r="N16" s="9">
        <v>72</v>
      </c>
      <c r="O16" s="5">
        <v>56</v>
      </c>
      <c r="P16" s="9"/>
      <c r="Q16" s="5">
        <v>100</v>
      </c>
      <c r="R16" s="9"/>
      <c r="S16" s="5"/>
      <c r="T16" s="9"/>
      <c r="U16" s="5"/>
      <c r="V16" s="9"/>
      <c r="W16" s="5"/>
      <c r="X16" s="9"/>
      <c r="Y16" s="5"/>
      <c r="Z16" s="9"/>
      <c r="AA16" s="5"/>
      <c r="AB16" s="9"/>
      <c r="AC16" s="5"/>
      <c r="AD16" s="9"/>
      <c r="AE16" s="5"/>
      <c r="AF16" s="2"/>
      <c r="AG16" s="9"/>
      <c r="AH16" s="5"/>
      <c r="AI16" s="9"/>
      <c r="AJ16" s="5"/>
    </row>
    <row r="17" spans="1:36" ht="26.4">
      <c r="A17" s="7" t="s">
        <v>41</v>
      </c>
      <c r="B17" s="5" t="s">
        <v>53</v>
      </c>
      <c r="C17" s="7" t="s">
        <v>37</v>
      </c>
      <c r="D17" s="7" t="str">
        <f t="shared" si="0"/>
        <v>H213-A CPP</v>
      </c>
      <c r="E17" s="7"/>
      <c r="F17" s="7"/>
      <c r="G17" s="7"/>
      <c r="H17" s="5">
        <v>810</v>
      </c>
      <c r="I17" s="5">
        <f t="shared" si="1"/>
        <v>100</v>
      </c>
      <c r="J17" s="8">
        <f t="shared" si="2"/>
        <v>90</v>
      </c>
      <c r="K17" s="8">
        <f t="shared" ref="K17:K70" si="5">IFERROR(SUM(M17/J17),"")</f>
        <v>0.85555555555555551</v>
      </c>
      <c r="L17" s="7">
        <v>100</v>
      </c>
      <c r="M17" s="7">
        <f t="shared" si="3"/>
        <v>77</v>
      </c>
      <c r="N17" s="9">
        <v>77</v>
      </c>
      <c r="O17" s="5">
        <v>0</v>
      </c>
      <c r="P17" s="9"/>
      <c r="Q17" s="5">
        <v>100</v>
      </c>
      <c r="R17" s="9"/>
      <c r="S17" s="5"/>
      <c r="T17" s="9"/>
      <c r="U17" s="5"/>
      <c r="V17" s="9"/>
      <c r="W17" s="5"/>
      <c r="X17" s="9"/>
      <c r="Y17" s="5"/>
      <c r="Z17" s="9"/>
      <c r="AA17" s="5"/>
      <c r="AB17" s="9"/>
      <c r="AC17" s="5"/>
      <c r="AD17" s="9"/>
      <c r="AE17" s="5"/>
      <c r="AF17" s="2"/>
      <c r="AG17" s="9"/>
      <c r="AH17" s="5"/>
      <c r="AI17" s="9"/>
      <c r="AJ17" s="5"/>
    </row>
    <row r="18" spans="1:36" ht="26.4">
      <c r="A18" s="7" t="s">
        <v>41</v>
      </c>
      <c r="B18" s="5" t="s">
        <v>54</v>
      </c>
      <c r="C18" s="7" t="s">
        <v>37</v>
      </c>
      <c r="D18" s="7" t="str">
        <f t="shared" si="0"/>
        <v>H205-A CPP</v>
      </c>
      <c r="E18" s="7"/>
      <c r="F18" s="7"/>
      <c r="G18" s="7"/>
      <c r="H18" s="5">
        <v>810</v>
      </c>
      <c r="I18" s="5">
        <f t="shared" si="1"/>
        <v>204</v>
      </c>
      <c r="J18" s="8">
        <f t="shared" si="2"/>
        <v>90</v>
      </c>
      <c r="K18" s="8">
        <f t="shared" si="5"/>
        <v>-0.35555555555555557</v>
      </c>
      <c r="L18" s="11">
        <v>100</v>
      </c>
      <c r="M18" s="7">
        <f t="shared" si="3"/>
        <v>-32</v>
      </c>
      <c r="N18" s="9">
        <v>72</v>
      </c>
      <c r="O18" s="5">
        <v>130</v>
      </c>
      <c r="P18" s="9"/>
      <c r="Q18" s="5">
        <v>74</v>
      </c>
      <c r="R18" s="9"/>
      <c r="S18" s="5"/>
      <c r="T18" s="9"/>
      <c r="U18" s="5"/>
      <c r="V18" s="9"/>
      <c r="W18" s="5"/>
      <c r="X18" s="9"/>
      <c r="Y18" s="5"/>
      <c r="Z18" s="9"/>
      <c r="AA18" s="5"/>
      <c r="AB18" s="9"/>
      <c r="AC18" s="5"/>
      <c r="AD18" s="9"/>
      <c r="AE18" s="5"/>
      <c r="AF18" s="2"/>
      <c r="AG18" s="9"/>
      <c r="AH18" s="5"/>
      <c r="AI18" s="9"/>
      <c r="AJ18" s="5"/>
    </row>
    <row r="19" spans="1:36" ht="26.4">
      <c r="A19" s="7" t="s">
        <v>41</v>
      </c>
      <c r="B19" s="5" t="s">
        <v>55</v>
      </c>
      <c r="C19" s="7" t="s">
        <v>37</v>
      </c>
      <c r="D19" s="7" t="str">
        <f t="shared" si="0"/>
        <v>H216-A CPP</v>
      </c>
      <c r="E19" s="7"/>
      <c r="F19" s="7"/>
      <c r="G19" s="7"/>
      <c r="H19" s="5">
        <v>810</v>
      </c>
      <c r="I19" s="5">
        <f t="shared" si="1"/>
        <v>300</v>
      </c>
      <c r="J19" s="8">
        <f t="shared" si="2"/>
        <v>90</v>
      </c>
      <c r="K19" s="8">
        <f t="shared" si="5"/>
        <v>-2.2222222222222223</v>
      </c>
      <c r="L19" s="11">
        <v>100</v>
      </c>
      <c r="M19" s="7">
        <f t="shared" si="3"/>
        <v>-200</v>
      </c>
      <c r="N19" s="9"/>
      <c r="O19" s="5">
        <v>100</v>
      </c>
      <c r="P19" s="9"/>
      <c r="Q19" s="5">
        <v>0</v>
      </c>
      <c r="R19" s="9"/>
      <c r="S19" s="5">
        <v>200</v>
      </c>
      <c r="T19" s="9"/>
      <c r="U19" s="5"/>
      <c r="V19" s="9"/>
      <c r="W19" s="5"/>
      <c r="X19" s="9"/>
      <c r="Y19" s="5"/>
      <c r="Z19" s="9"/>
      <c r="AA19" s="5"/>
      <c r="AB19" s="9"/>
      <c r="AC19" s="5"/>
      <c r="AD19" s="9"/>
      <c r="AE19" s="5"/>
      <c r="AF19" s="2"/>
      <c r="AG19" s="9"/>
      <c r="AH19" s="5"/>
      <c r="AI19" s="9"/>
      <c r="AJ19" s="5"/>
    </row>
    <row r="20" spans="1:36" ht="26.4">
      <c r="A20" s="7" t="s">
        <v>41</v>
      </c>
      <c r="B20" s="5" t="s">
        <v>56</v>
      </c>
      <c r="C20" s="7" t="s">
        <v>37</v>
      </c>
      <c r="D20" s="7" t="str">
        <f t="shared" si="0"/>
        <v>H206-A CPP</v>
      </c>
      <c r="E20" s="7"/>
      <c r="F20" s="7"/>
      <c r="G20" s="7"/>
      <c r="H20" s="5">
        <v>810</v>
      </c>
      <c r="I20" s="5">
        <f t="shared" si="1"/>
        <v>372</v>
      </c>
      <c r="J20" s="8">
        <f t="shared" si="2"/>
        <v>90</v>
      </c>
      <c r="K20" s="8">
        <f t="shared" si="5"/>
        <v>-2.2222222222222223</v>
      </c>
      <c r="L20" s="11">
        <v>100</v>
      </c>
      <c r="M20" s="7">
        <f t="shared" si="3"/>
        <v>-200</v>
      </c>
      <c r="N20" s="9">
        <v>72</v>
      </c>
      <c r="O20" s="5">
        <v>172</v>
      </c>
      <c r="P20" s="9"/>
      <c r="Q20" s="5">
        <v>100</v>
      </c>
      <c r="R20" s="9"/>
      <c r="S20" s="5">
        <v>100</v>
      </c>
      <c r="T20" s="9"/>
      <c r="U20" s="5"/>
      <c r="V20" s="9"/>
      <c r="W20" s="5"/>
      <c r="X20" s="9"/>
      <c r="Y20" s="5"/>
      <c r="Z20" s="9"/>
      <c r="AA20" s="5"/>
      <c r="AB20" s="9"/>
      <c r="AC20" s="5"/>
      <c r="AD20" s="9"/>
      <c r="AE20" s="5"/>
      <c r="AF20" s="2"/>
      <c r="AG20" s="9"/>
      <c r="AH20" s="5"/>
      <c r="AI20" s="9"/>
      <c r="AJ20" s="5"/>
    </row>
    <row r="21" spans="1:36" ht="26.4">
      <c r="A21" s="7" t="s">
        <v>41</v>
      </c>
      <c r="B21" s="5" t="s">
        <v>57</v>
      </c>
      <c r="C21" s="7" t="s">
        <v>37</v>
      </c>
      <c r="D21" s="7" t="str">
        <f t="shared" si="0"/>
        <v>H202-A CPP</v>
      </c>
      <c r="E21" s="7"/>
      <c r="F21" s="7"/>
      <c r="G21" s="7"/>
      <c r="H21" s="5">
        <v>810</v>
      </c>
      <c r="I21" s="5">
        <f t="shared" si="1"/>
        <v>133</v>
      </c>
      <c r="J21" s="8">
        <f t="shared" si="2"/>
        <v>90</v>
      </c>
      <c r="K21" s="8">
        <f t="shared" si="5"/>
        <v>0.4777777777777778</v>
      </c>
      <c r="L21" s="11">
        <v>100</v>
      </c>
      <c r="M21" s="7">
        <f t="shared" si="3"/>
        <v>43</v>
      </c>
      <c r="N21" s="9">
        <v>76</v>
      </c>
      <c r="O21" s="5">
        <v>133</v>
      </c>
      <c r="P21" s="9"/>
      <c r="Q21" s="5">
        <v>0</v>
      </c>
      <c r="R21" s="9"/>
      <c r="S21" s="5"/>
      <c r="T21" s="9"/>
      <c r="U21" s="5"/>
      <c r="V21" s="9"/>
      <c r="W21" s="5"/>
      <c r="X21" s="9"/>
      <c r="Y21" s="5"/>
      <c r="Z21" s="9"/>
      <c r="AA21" s="5"/>
      <c r="AB21" s="9"/>
      <c r="AC21" s="5"/>
      <c r="AD21" s="9"/>
      <c r="AE21" s="5"/>
      <c r="AF21" s="2"/>
      <c r="AG21" s="9"/>
      <c r="AH21" s="5"/>
      <c r="AI21" s="9"/>
      <c r="AJ21" s="5"/>
    </row>
    <row r="22" spans="1:36" ht="26.4">
      <c r="A22" s="7" t="s">
        <v>58</v>
      </c>
      <c r="B22" s="5" t="s">
        <v>59</v>
      </c>
      <c r="C22" s="7" t="s">
        <v>37</v>
      </c>
      <c r="D22" s="7" t="str">
        <f t="shared" si="0"/>
        <v>H307-A CPP</v>
      </c>
      <c r="E22" s="7"/>
      <c r="F22" s="7"/>
      <c r="G22" s="7"/>
      <c r="H22" s="5">
        <v>810</v>
      </c>
      <c r="I22" s="5">
        <f t="shared" si="1"/>
        <v>300</v>
      </c>
      <c r="J22" s="8">
        <f t="shared" si="2"/>
        <v>90</v>
      </c>
      <c r="K22" s="8">
        <f t="shared" si="5"/>
        <v>-2.2222222222222223</v>
      </c>
      <c r="L22" s="11">
        <v>100</v>
      </c>
      <c r="M22" s="7">
        <f t="shared" si="3"/>
        <v>-200</v>
      </c>
      <c r="N22" s="9"/>
      <c r="O22" s="5">
        <v>100</v>
      </c>
      <c r="P22" s="9"/>
      <c r="Q22" s="5">
        <v>200</v>
      </c>
      <c r="R22" s="9"/>
      <c r="S22" s="5"/>
      <c r="T22" s="9"/>
      <c r="U22" s="5"/>
      <c r="V22" s="9"/>
      <c r="W22" s="5"/>
      <c r="X22" s="9"/>
      <c r="Y22" s="5"/>
      <c r="Z22" s="9"/>
      <c r="AA22" s="5"/>
      <c r="AB22" s="9"/>
      <c r="AC22" s="5"/>
      <c r="AD22" s="9"/>
      <c r="AE22" s="5"/>
      <c r="AF22" s="2"/>
      <c r="AG22" s="9"/>
      <c r="AH22" s="5"/>
      <c r="AI22" s="9"/>
      <c r="AJ22" s="5"/>
    </row>
    <row r="23" spans="1:36" ht="26.4">
      <c r="A23" s="7" t="s">
        <v>58</v>
      </c>
      <c r="B23" s="5" t="s">
        <v>60</v>
      </c>
      <c r="C23" s="7" t="s">
        <v>37</v>
      </c>
      <c r="D23" s="7" t="str">
        <f t="shared" si="0"/>
        <v>H316-A CPP</v>
      </c>
      <c r="E23" s="7"/>
      <c r="F23" s="7"/>
      <c r="G23" s="7"/>
      <c r="H23" s="5">
        <v>810</v>
      </c>
      <c r="I23" s="5">
        <f t="shared" si="1"/>
        <v>100</v>
      </c>
      <c r="J23" s="8">
        <f t="shared" si="2"/>
        <v>90</v>
      </c>
      <c r="K23" s="8">
        <f t="shared" si="5"/>
        <v>0.85555555555555551</v>
      </c>
      <c r="L23" s="11">
        <v>100</v>
      </c>
      <c r="M23" s="7">
        <f t="shared" si="3"/>
        <v>77</v>
      </c>
      <c r="N23" s="9">
        <v>77</v>
      </c>
      <c r="O23" s="5">
        <v>100</v>
      </c>
      <c r="P23" s="9"/>
      <c r="Q23" s="5">
        <v>0</v>
      </c>
      <c r="R23" s="9"/>
      <c r="S23" s="5"/>
      <c r="T23" s="9"/>
      <c r="U23" s="5"/>
      <c r="V23" s="9"/>
      <c r="W23" s="5"/>
      <c r="X23" s="9"/>
      <c r="Y23" s="5"/>
      <c r="Z23" s="9"/>
      <c r="AA23" s="5"/>
      <c r="AB23" s="9"/>
      <c r="AC23" s="5"/>
      <c r="AD23" s="9"/>
      <c r="AE23" s="5"/>
      <c r="AF23" s="2"/>
      <c r="AG23" s="9"/>
      <c r="AH23" s="5"/>
      <c r="AI23" s="9"/>
      <c r="AJ23" s="5"/>
    </row>
    <row r="24" spans="1:36" ht="26.4">
      <c r="A24" s="7" t="s">
        <v>41</v>
      </c>
      <c r="B24" s="5" t="s">
        <v>53</v>
      </c>
      <c r="C24" s="7"/>
      <c r="D24" s="7" t="str">
        <f t="shared" si="0"/>
        <v xml:space="preserve">H213-A </v>
      </c>
      <c r="E24" s="7" t="s">
        <v>61</v>
      </c>
      <c r="F24" s="7"/>
      <c r="G24" s="7"/>
      <c r="H24" s="5">
        <v>810</v>
      </c>
      <c r="I24" s="5">
        <f t="shared" si="1"/>
        <v>200</v>
      </c>
      <c r="J24" s="8">
        <f t="shared" si="2"/>
        <v>90</v>
      </c>
      <c r="K24" s="8">
        <f t="shared" si="5"/>
        <v>0</v>
      </c>
      <c r="L24" s="11">
        <v>100</v>
      </c>
      <c r="M24" s="7">
        <f t="shared" si="3"/>
        <v>0</v>
      </c>
      <c r="N24" s="9">
        <v>100</v>
      </c>
      <c r="O24" s="5">
        <v>200</v>
      </c>
      <c r="P24" s="9"/>
      <c r="Q24" s="5"/>
      <c r="R24" s="9"/>
      <c r="S24" s="5"/>
      <c r="T24" s="9"/>
      <c r="U24" s="5"/>
      <c r="V24" s="9"/>
      <c r="W24" s="5"/>
      <c r="X24" s="9"/>
      <c r="Y24" s="5"/>
      <c r="Z24" s="9"/>
      <c r="AA24" s="5"/>
      <c r="AB24" s="9"/>
      <c r="AC24" s="5"/>
      <c r="AD24" s="9"/>
      <c r="AE24" s="5"/>
      <c r="AF24" s="2"/>
      <c r="AG24" s="9"/>
      <c r="AH24" s="5"/>
      <c r="AI24" s="9"/>
      <c r="AJ24" s="5"/>
    </row>
    <row r="25" spans="1:36" ht="26.4">
      <c r="A25" s="7" t="s">
        <v>58</v>
      </c>
      <c r="B25" s="5" t="s">
        <v>59</v>
      </c>
      <c r="C25" s="7"/>
      <c r="D25" s="7" t="str">
        <f t="shared" si="0"/>
        <v xml:space="preserve">H307-A </v>
      </c>
      <c r="E25" s="7"/>
      <c r="F25" s="7"/>
      <c r="G25" s="7"/>
      <c r="H25" s="5">
        <v>810</v>
      </c>
      <c r="I25" s="5">
        <f t="shared" si="1"/>
        <v>450</v>
      </c>
      <c r="J25" s="8">
        <f t="shared" si="2"/>
        <v>90</v>
      </c>
      <c r="K25" s="8">
        <f t="shared" si="5"/>
        <v>-2.7777777777777777</v>
      </c>
      <c r="L25" s="11">
        <v>100</v>
      </c>
      <c r="M25" s="7">
        <f t="shared" si="3"/>
        <v>-250</v>
      </c>
      <c r="N25" s="9">
        <v>100</v>
      </c>
      <c r="O25" s="5">
        <v>200</v>
      </c>
      <c r="P25" s="9"/>
      <c r="Q25" s="5"/>
      <c r="R25" s="9"/>
      <c r="S25" s="5">
        <v>250</v>
      </c>
      <c r="T25" s="9"/>
      <c r="U25" s="5"/>
      <c r="V25" s="9"/>
      <c r="W25" s="5"/>
      <c r="X25" s="9"/>
      <c r="Y25" s="5"/>
      <c r="Z25" s="9"/>
      <c r="AA25" s="5"/>
      <c r="AB25" s="9"/>
      <c r="AC25" s="5"/>
      <c r="AD25" s="9"/>
      <c r="AE25" s="5"/>
      <c r="AF25" s="2"/>
      <c r="AG25" s="9"/>
      <c r="AH25" s="5"/>
      <c r="AI25" s="9"/>
      <c r="AJ25" s="5"/>
    </row>
    <row r="26" spans="1:36" ht="26.4">
      <c r="A26" s="7" t="s">
        <v>58</v>
      </c>
      <c r="B26" s="5" t="s">
        <v>60</v>
      </c>
      <c r="C26" s="7"/>
      <c r="D26" s="7" t="str">
        <f t="shared" si="0"/>
        <v xml:space="preserve">H316-A </v>
      </c>
      <c r="E26" s="7"/>
      <c r="F26" s="7"/>
      <c r="G26" s="7"/>
      <c r="H26" s="5">
        <v>810</v>
      </c>
      <c r="I26" s="5">
        <f t="shared" si="1"/>
        <v>850</v>
      </c>
      <c r="J26" s="8">
        <f t="shared" si="2"/>
        <v>90</v>
      </c>
      <c r="K26" s="8">
        <f t="shared" si="5"/>
        <v>-7.2222222222222223</v>
      </c>
      <c r="L26" s="7">
        <v>50</v>
      </c>
      <c r="M26" s="7">
        <f t="shared" si="3"/>
        <v>-650</v>
      </c>
      <c r="N26" s="9">
        <v>150</v>
      </c>
      <c r="O26" s="5">
        <v>200</v>
      </c>
      <c r="P26" s="9"/>
      <c r="Q26" s="5">
        <v>250</v>
      </c>
      <c r="R26" s="9"/>
      <c r="S26" s="5">
        <v>400</v>
      </c>
      <c r="T26" s="9"/>
      <c r="U26" s="5"/>
      <c r="V26" s="9"/>
      <c r="W26" s="5"/>
      <c r="X26" s="9"/>
      <c r="Y26" s="5"/>
      <c r="Z26" s="9"/>
      <c r="AA26" s="5"/>
      <c r="AB26" s="9"/>
      <c r="AC26" s="5"/>
      <c r="AD26" s="9"/>
      <c r="AE26" s="5"/>
      <c r="AF26" s="2"/>
      <c r="AG26" s="9"/>
      <c r="AH26" s="5"/>
      <c r="AI26" s="9"/>
      <c r="AJ26" s="5"/>
    </row>
    <row r="27" spans="1:36" ht="26.4">
      <c r="A27" s="7" t="s">
        <v>41</v>
      </c>
      <c r="B27" s="5" t="s">
        <v>52</v>
      </c>
      <c r="C27" s="7"/>
      <c r="D27" s="7" t="str">
        <f t="shared" si="0"/>
        <v xml:space="preserve">H217-A </v>
      </c>
      <c r="E27" s="7"/>
      <c r="F27" s="7"/>
      <c r="G27" s="7"/>
      <c r="H27" s="5">
        <v>810</v>
      </c>
      <c r="I27" s="5">
        <f t="shared" si="1"/>
        <v>300</v>
      </c>
      <c r="J27" s="8">
        <f t="shared" si="2"/>
        <v>90</v>
      </c>
      <c r="K27" s="8">
        <f t="shared" si="5"/>
        <v>-1.6666666666666667</v>
      </c>
      <c r="L27" s="7">
        <v>50</v>
      </c>
      <c r="M27" s="7">
        <f t="shared" si="3"/>
        <v>-150</v>
      </c>
      <c r="N27" s="9">
        <v>100</v>
      </c>
      <c r="O27" s="5">
        <v>100</v>
      </c>
      <c r="P27" s="9"/>
      <c r="Q27" s="5"/>
      <c r="R27" s="9"/>
      <c r="S27" s="5">
        <v>200</v>
      </c>
      <c r="T27" s="9"/>
      <c r="U27" s="5"/>
      <c r="V27" s="9"/>
      <c r="W27" s="5"/>
      <c r="X27" s="9"/>
      <c r="Y27" s="5"/>
      <c r="Z27" s="9"/>
      <c r="AA27" s="5"/>
      <c r="AB27" s="9"/>
      <c r="AC27" s="5"/>
      <c r="AD27" s="6"/>
      <c r="AE27" s="5"/>
      <c r="AF27" s="2"/>
      <c r="AG27" s="6"/>
      <c r="AH27" s="5"/>
      <c r="AI27" s="9"/>
      <c r="AJ27" s="5"/>
    </row>
    <row r="28" spans="1:36" ht="26.4">
      <c r="A28" s="7" t="s">
        <v>35</v>
      </c>
      <c r="B28" s="5" t="s">
        <v>51</v>
      </c>
      <c r="C28" s="7"/>
      <c r="D28" s="7" t="str">
        <f t="shared" si="0"/>
        <v xml:space="preserve">H113-A </v>
      </c>
      <c r="E28" s="7"/>
      <c r="F28" s="7"/>
      <c r="G28" s="7"/>
      <c r="H28" s="5">
        <v>810</v>
      </c>
      <c r="I28" s="5">
        <f t="shared" si="1"/>
        <v>200</v>
      </c>
      <c r="J28" s="8">
        <f t="shared" si="2"/>
        <v>90</v>
      </c>
      <c r="K28" s="8">
        <f t="shared" si="5"/>
        <v>0</v>
      </c>
      <c r="L28" s="7">
        <v>100</v>
      </c>
      <c r="M28" s="7">
        <f t="shared" si="3"/>
        <v>0</v>
      </c>
      <c r="N28" s="9">
        <v>100</v>
      </c>
      <c r="O28" s="5">
        <v>100</v>
      </c>
      <c r="P28" s="9"/>
      <c r="Q28" s="5">
        <v>100</v>
      </c>
      <c r="R28" s="9"/>
      <c r="S28" s="5"/>
      <c r="T28" s="6"/>
      <c r="U28" s="7"/>
      <c r="V28" s="9"/>
      <c r="W28" s="7"/>
      <c r="X28" s="6"/>
      <c r="Y28" s="7"/>
      <c r="Z28" s="6"/>
      <c r="AA28" s="7"/>
      <c r="AB28" s="6"/>
      <c r="AC28" s="7"/>
      <c r="AD28" s="6"/>
      <c r="AE28" s="7"/>
      <c r="AF28" s="2"/>
      <c r="AG28" s="6"/>
      <c r="AH28" s="7"/>
      <c r="AI28" s="6"/>
      <c r="AJ28" s="7"/>
    </row>
    <row r="29" spans="1:36" ht="13.8">
      <c r="A29" s="7"/>
      <c r="B29" s="5" t="s">
        <v>62</v>
      </c>
      <c r="C29" s="7"/>
      <c r="D29" s="7" t="str">
        <f t="shared" si="0"/>
        <v xml:space="preserve">H215-A </v>
      </c>
      <c r="E29" s="7"/>
      <c r="F29" s="7"/>
      <c r="G29" s="7"/>
      <c r="H29" s="5">
        <v>810</v>
      </c>
      <c r="I29" s="5">
        <f t="shared" si="1"/>
        <v>200</v>
      </c>
      <c r="J29" s="8">
        <f t="shared" si="2"/>
        <v>90</v>
      </c>
      <c r="K29" s="8">
        <f t="shared" si="5"/>
        <v>-0.55555555555555558</v>
      </c>
      <c r="L29" s="7">
        <v>50</v>
      </c>
      <c r="M29" s="7">
        <f t="shared" si="3"/>
        <v>-50</v>
      </c>
      <c r="N29" s="9">
        <v>100</v>
      </c>
      <c r="O29" s="5">
        <v>0</v>
      </c>
      <c r="P29" s="9"/>
      <c r="Q29" s="5">
        <v>100</v>
      </c>
      <c r="R29" s="6"/>
      <c r="S29" s="7">
        <v>100</v>
      </c>
      <c r="T29" s="6"/>
      <c r="U29" s="7"/>
      <c r="V29" s="6"/>
      <c r="W29" s="7"/>
      <c r="X29" s="6"/>
      <c r="Y29" s="7"/>
      <c r="Z29" s="6"/>
      <c r="AA29" s="7"/>
      <c r="AB29" s="6"/>
      <c r="AC29" s="7"/>
      <c r="AD29" s="6"/>
      <c r="AE29" s="7"/>
      <c r="AF29" s="2"/>
      <c r="AG29" s="6"/>
      <c r="AH29" s="7"/>
      <c r="AI29" s="6"/>
      <c r="AJ29" s="7"/>
    </row>
    <row r="30" spans="1:36" ht="13.8">
      <c r="A30" s="7"/>
      <c r="B30" s="5" t="s">
        <v>56</v>
      </c>
      <c r="C30" s="7"/>
      <c r="D30" s="7" t="str">
        <f t="shared" si="0"/>
        <v xml:space="preserve">H206-A </v>
      </c>
      <c r="E30" s="7"/>
      <c r="F30" s="7"/>
      <c r="G30" s="7"/>
      <c r="H30" s="5">
        <v>810</v>
      </c>
      <c r="I30" s="5">
        <f t="shared" si="1"/>
        <v>400</v>
      </c>
      <c r="J30" s="8">
        <f t="shared" si="2"/>
        <v>90</v>
      </c>
      <c r="K30" s="8">
        <f t="shared" si="5"/>
        <v>0</v>
      </c>
      <c r="L30" s="7">
        <v>100</v>
      </c>
      <c r="M30" s="7">
        <f t="shared" si="3"/>
        <v>0</v>
      </c>
      <c r="N30" s="9">
        <v>300</v>
      </c>
      <c r="O30" s="5">
        <v>400</v>
      </c>
      <c r="P30" s="9"/>
      <c r="Q30" s="5"/>
      <c r="R30" s="6"/>
      <c r="S30" s="7"/>
      <c r="T30" s="6"/>
      <c r="U30" s="7"/>
      <c r="V30" s="6"/>
      <c r="W30" s="7"/>
      <c r="X30" s="6"/>
      <c r="Y30" s="7"/>
      <c r="Z30" s="6"/>
      <c r="AA30" s="7"/>
      <c r="AB30" s="6"/>
      <c r="AC30" s="7"/>
      <c r="AD30" s="6"/>
      <c r="AE30" s="7"/>
      <c r="AF30" s="2"/>
      <c r="AG30" s="6"/>
      <c r="AH30" s="7"/>
      <c r="AI30" s="6"/>
      <c r="AJ30" s="7"/>
    </row>
    <row r="31" spans="1:36" ht="13.8">
      <c r="A31" s="7"/>
      <c r="B31" s="5" t="s">
        <v>57</v>
      </c>
      <c r="C31" s="7"/>
      <c r="D31" s="7" t="str">
        <f t="shared" si="0"/>
        <v xml:space="preserve">H202-A </v>
      </c>
      <c r="E31" s="7"/>
      <c r="F31" s="7"/>
      <c r="G31" s="7"/>
      <c r="H31" s="5">
        <v>810</v>
      </c>
      <c r="I31" s="5">
        <f t="shared" si="1"/>
        <v>400</v>
      </c>
      <c r="J31" s="8">
        <f t="shared" si="2"/>
        <v>90</v>
      </c>
      <c r="K31" s="8">
        <f t="shared" si="5"/>
        <v>0</v>
      </c>
      <c r="L31" s="7">
        <v>100</v>
      </c>
      <c r="M31" s="7">
        <f t="shared" si="3"/>
        <v>0</v>
      </c>
      <c r="N31" s="9">
        <v>300</v>
      </c>
      <c r="O31" s="5">
        <v>400</v>
      </c>
      <c r="P31" s="9"/>
      <c r="Q31" s="5"/>
      <c r="R31" s="6"/>
      <c r="S31" s="7"/>
      <c r="T31" s="6"/>
      <c r="U31" s="7"/>
      <c r="V31" s="6"/>
      <c r="W31" s="7"/>
      <c r="X31" s="6"/>
      <c r="Y31" s="7"/>
      <c r="Z31" s="6"/>
      <c r="AA31" s="7"/>
      <c r="AB31" s="6"/>
      <c r="AC31" s="7"/>
      <c r="AD31" s="6"/>
      <c r="AE31" s="7"/>
      <c r="AF31" s="2"/>
      <c r="AG31" s="6"/>
      <c r="AH31" s="7"/>
      <c r="AI31" s="6"/>
      <c r="AJ31" s="7"/>
    </row>
    <row r="32" spans="1:36" ht="13.8">
      <c r="A32" s="7"/>
      <c r="B32" s="5" t="s">
        <v>54</v>
      </c>
      <c r="C32" s="7"/>
      <c r="D32" s="7" t="str">
        <f t="shared" si="0"/>
        <v xml:space="preserve">H205-A </v>
      </c>
      <c r="E32" s="7"/>
      <c r="F32" s="7"/>
      <c r="G32" s="7"/>
      <c r="H32" s="5">
        <v>810</v>
      </c>
      <c r="I32" s="5">
        <f t="shared" si="1"/>
        <v>300</v>
      </c>
      <c r="J32" s="8">
        <f t="shared" si="2"/>
        <v>90</v>
      </c>
      <c r="K32" s="8">
        <f t="shared" si="5"/>
        <v>0</v>
      </c>
      <c r="L32" s="7"/>
      <c r="M32" s="7">
        <f t="shared" si="3"/>
        <v>0</v>
      </c>
      <c r="N32" s="9">
        <v>300</v>
      </c>
      <c r="O32" s="5">
        <v>300</v>
      </c>
      <c r="P32" s="9"/>
      <c r="Q32" s="5"/>
      <c r="R32" s="6"/>
      <c r="S32" s="7"/>
      <c r="T32" s="6"/>
      <c r="U32" s="7"/>
      <c r="V32" s="6"/>
      <c r="W32" s="7"/>
      <c r="X32" s="6"/>
      <c r="Y32" s="7"/>
      <c r="Z32" s="6"/>
      <c r="AA32" s="7"/>
      <c r="AB32" s="6"/>
      <c r="AC32" s="7"/>
      <c r="AD32" s="6"/>
      <c r="AE32" s="7"/>
      <c r="AF32" s="2"/>
      <c r="AG32" s="6"/>
      <c r="AH32" s="7"/>
      <c r="AI32" s="6"/>
      <c r="AJ32" s="7"/>
    </row>
    <row r="33" spans="1:37" s="1" customFormat="1" ht="13.8">
      <c r="A33" s="12"/>
      <c r="B33" s="5" t="s">
        <v>55</v>
      </c>
      <c r="C33" s="7"/>
      <c r="D33" s="7" t="str">
        <f t="shared" si="0"/>
        <v xml:space="preserve">H216-A </v>
      </c>
      <c r="H33" s="5">
        <v>810</v>
      </c>
      <c r="I33" s="5">
        <f t="shared" si="1"/>
        <v>350</v>
      </c>
      <c r="J33" s="8">
        <f t="shared" si="2"/>
        <v>90</v>
      </c>
      <c r="K33" s="8">
        <f t="shared" si="5"/>
        <v>-1.6666666666666667</v>
      </c>
      <c r="L33" s="1">
        <v>50</v>
      </c>
      <c r="M33" s="7">
        <f t="shared" si="3"/>
        <v>-150</v>
      </c>
      <c r="N33" s="9">
        <v>150</v>
      </c>
      <c r="O33" s="5">
        <v>50</v>
      </c>
      <c r="P33" s="9"/>
      <c r="Q33" s="5">
        <v>200</v>
      </c>
      <c r="R33" s="13"/>
      <c r="S33" s="1">
        <v>100</v>
      </c>
      <c r="T33" s="13"/>
      <c r="V33" s="13"/>
      <c r="X33" s="13"/>
      <c r="Z33" s="13"/>
      <c r="AB33" s="13"/>
      <c r="AD33" s="13"/>
      <c r="AF33" s="14"/>
      <c r="AG33" s="13"/>
      <c r="AI33" s="13"/>
      <c r="AK33" s="15"/>
    </row>
    <row r="34" spans="1:37" s="25" customFormat="1" ht="13.8">
      <c r="A34" s="7"/>
      <c r="B34" s="5" t="s">
        <v>53</v>
      </c>
      <c r="C34" s="7"/>
      <c r="D34" s="7" t="str">
        <f t="shared" si="0"/>
        <v xml:space="preserve">H213-A </v>
      </c>
      <c r="E34" s="1" t="s">
        <v>109</v>
      </c>
      <c r="F34" s="1"/>
      <c r="G34" s="1"/>
      <c r="H34" s="5">
        <v>810</v>
      </c>
      <c r="I34" s="5">
        <f t="shared" si="1"/>
        <v>100</v>
      </c>
      <c r="J34" s="8">
        <f t="shared" si="2"/>
        <v>90</v>
      </c>
      <c r="K34" s="8">
        <f t="shared" si="5"/>
        <v>0</v>
      </c>
      <c r="L34" s="7">
        <v>100</v>
      </c>
      <c r="M34" s="7">
        <f t="shared" si="3"/>
        <v>0</v>
      </c>
      <c r="N34" s="9"/>
      <c r="O34" s="5">
        <v>100</v>
      </c>
      <c r="P34" s="9"/>
      <c r="Q34" s="5"/>
      <c r="R34" s="13"/>
      <c r="S34" s="1"/>
      <c r="T34" s="13"/>
      <c r="U34" s="1"/>
      <c r="V34" s="13"/>
      <c r="W34" s="1"/>
      <c r="X34" s="13"/>
      <c r="Y34" s="1"/>
      <c r="Z34" s="13"/>
      <c r="AA34" s="1"/>
      <c r="AB34" s="13"/>
      <c r="AC34" s="1"/>
      <c r="AD34" s="13"/>
      <c r="AE34" s="1"/>
      <c r="AF34" s="14"/>
      <c r="AG34" s="13"/>
      <c r="AH34" s="1"/>
      <c r="AI34" s="13"/>
      <c r="AJ34" s="1"/>
      <c r="AK34" s="24"/>
    </row>
    <row r="35" spans="1:37" s="1" customFormat="1" ht="13.8">
      <c r="A35" s="12"/>
      <c r="B35" s="5" t="s">
        <v>59</v>
      </c>
      <c r="C35" s="7"/>
      <c r="D35" s="7" t="str">
        <f t="shared" si="0"/>
        <v xml:space="preserve">H307-A </v>
      </c>
      <c r="H35" s="5">
        <v>810</v>
      </c>
      <c r="I35" s="5">
        <f t="shared" si="1"/>
        <v>200</v>
      </c>
      <c r="J35" s="8">
        <f t="shared" si="2"/>
        <v>90</v>
      </c>
      <c r="K35" s="8">
        <f t="shared" si="5"/>
        <v>0</v>
      </c>
      <c r="L35" s="1">
        <v>100</v>
      </c>
      <c r="M35" s="7">
        <f t="shared" si="3"/>
        <v>0</v>
      </c>
      <c r="N35" s="9">
        <v>100</v>
      </c>
      <c r="O35" s="5">
        <v>100</v>
      </c>
      <c r="P35" s="9"/>
      <c r="Q35" s="26">
        <v>100</v>
      </c>
      <c r="R35" s="13"/>
      <c r="T35" s="13"/>
      <c r="V35" s="13"/>
      <c r="X35" s="13"/>
      <c r="Z35" s="13"/>
      <c r="AB35" s="13"/>
      <c r="AD35" s="13"/>
      <c r="AG35" s="13"/>
      <c r="AH35" s="27"/>
      <c r="AI35" s="13"/>
      <c r="AK35" s="15"/>
    </row>
    <row r="36" spans="1:37" ht="13.8">
      <c r="A36" s="1"/>
      <c r="B36" s="5" t="s">
        <v>60</v>
      </c>
      <c r="C36" s="7"/>
      <c r="D36" s="7" t="str">
        <f t="shared" si="0"/>
        <v xml:space="preserve">H316-A </v>
      </c>
      <c r="E36" s="1"/>
      <c r="F36" s="1"/>
      <c r="G36" s="1"/>
      <c r="H36" s="5">
        <v>810</v>
      </c>
      <c r="I36" s="5">
        <f t="shared" si="1"/>
        <v>100</v>
      </c>
      <c r="J36" s="8">
        <f t="shared" si="2"/>
        <v>90</v>
      </c>
      <c r="K36" s="8">
        <f t="shared" si="5"/>
        <v>0.55555555555555558</v>
      </c>
      <c r="L36" s="7">
        <v>50</v>
      </c>
      <c r="M36" s="7">
        <f t="shared" si="3"/>
        <v>50</v>
      </c>
      <c r="N36" s="13">
        <v>100</v>
      </c>
      <c r="O36" s="1">
        <v>100</v>
      </c>
      <c r="P36" s="13"/>
      <c r="Q36" s="1"/>
      <c r="R36" s="13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7" ht="13.8">
      <c r="A37" s="1"/>
      <c r="B37" s="5" t="s">
        <v>52</v>
      </c>
      <c r="C37" s="7"/>
      <c r="D37" s="7" t="str">
        <f t="shared" si="0"/>
        <v xml:space="preserve">H217-A </v>
      </c>
      <c r="E37" s="1"/>
      <c r="F37" s="1"/>
      <c r="G37" s="1"/>
      <c r="H37" s="5">
        <v>810</v>
      </c>
      <c r="I37" s="5">
        <f t="shared" si="1"/>
        <v>200</v>
      </c>
      <c r="J37" s="8">
        <f t="shared" si="2"/>
        <v>90</v>
      </c>
      <c r="K37" s="8">
        <f t="shared" si="5"/>
        <v>-0.55555555555555558</v>
      </c>
      <c r="L37" s="1">
        <v>50</v>
      </c>
      <c r="M37" s="7">
        <f t="shared" si="3"/>
        <v>-50</v>
      </c>
      <c r="N37" s="13">
        <v>100</v>
      </c>
      <c r="O37" s="1">
        <v>100</v>
      </c>
      <c r="P37" s="13"/>
      <c r="Q37" s="1">
        <v>100</v>
      </c>
      <c r="R37" s="13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7" ht="13.8">
      <c r="A38" s="1"/>
      <c r="B38" s="5" t="s">
        <v>51</v>
      </c>
      <c r="C38" s="7"/>
      <c r="D38" s="7" t="str">
        <f t="shared" si="0"/>
        <v xml:space="preserve">H113-A </v>
      </c>
      <c r="E38" s="1"/>
      <c r="F38" s="1"/>
      <c r="G38" s="1"/>
      <c r="H38" s="5">
        <v>810</v>
      </c>
      <c r="I38" s="5">
        <f t="shared" si="1"/>
        <v>165</v>
      </c>
      <c r="J38" s="8">
        <f t="shared" si="2"/>
        <v>90</v>
      </c>
      <c r="K38" s="8">
        <f t="shared" si="5"/>
        <v>0.3888888888888889</v>
      </c>
      <c r="L38" s="7">
        <v>100</v>
      </c>
      <c r="M38" s="7">
        <f t="shared" si="3"/>
        <v>35</v>
      </c>
      <c r="N38" s="13">
        <v>100</v>
      </c>
      <c r="O38" s="1">
        <v>100</v>
      </c>
      <c r="P38" s="13"/>
      <c r="Q38" s="1">
        <v>65</v>
      </c>
      <c r="R38" s="13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7" ht="13.8">
      <c r="A39" s="1"/>
      <c r="B39" s="5" t="s">
        <v>62</v>
      </c>
      <c r="C39" s="7"/>
      <c r="D39" s="7" t="str">
        <f t="shared" si="0"/>
        <v xml:space="preserve">H215-A </v>
      </c>
      <c r="E39" s="1"/>
      <c r="F39" s="1"/>
      <c r="G39" s="1"/>
      <c r="H39" s="5">
        <v>810</v>
      </c>
      <c r="I39" s="5">
        <f t="shared" si="1"/>
        <v>100</v>
      </c>
      <c r="J39" s="8">
        <f t="shared" si="2"/>
        <v>90</v>
      </c>
      <c r="K39" s="8">
        <f t="shared" si="5"/>
        <v>-1.1111111111111112</v>
      </c>
      <c r="L39" s="1"/>
      <c r="M39" s="7">
        <f t="shared" si="3"/>
        <v>-100</v>
      </c>
      <c r="N39" s="13"/>
      <c r="O39" s="1"/>
      <c r="P39" s="13"/>
      <c r="Q39" s="1">
        <v>100</v>
      </c>
      <c r="R39" s="13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7" ht="13.8">
      <c r="A40" s="1"/>
      <c r="B40" s="5" t="s">
        <v>56</v>
      </c>
      <c r="C40" s="7"/>
      <c r="D40" s="7" t="str">
        <f t="shared" si="0"/>
        <v xml:space="preserve">H206-A </v>
      </c>
      <c r="E40" s="1"/>
      <c r="F40" s="1"/>
      <c r="G40" s="1"/>
      <c r="H40" s="5">
        <v>810</v>
      </c>
      <c r="I40" s="5">
        <f t="shared" si="1"/>
        <v>200</v>
      </c>
      <c r="J40" s="8">
        <f t="shared" si="2"/>
        <v>90</v>
      </c>
      <c r="K40" s="8">
        <f t="shared" si="5"/>
        <v>0</v>
      </c>
      <c r="L40" s="7">
        <v>100</v>
      </c>
      <c r="M40" s="7">
        <f t="shared" si="3"/>
        <v>0</v>
      </c>
      <c r="N40" s="13">
        <v>100</v>
      </c>
      <c r="O40" s="1">
        <v>100</v>
      </c>
      <c r="P40" s="13"/>
      <c r="Q40" s="1"/>
      <c r="R40" s="13"/>
      <c r="S40" s="1">
        <v>100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7" ht="13.8">
      <c r="A41" s="1"/>
      <c r="B41" s="5" t="s">
        <v>57</v>
      </c>
      <c r="C41" s="7"/>
      <c r="D41" s="7" t="str">
        <f t="shared" si="0"/>
        <v xml:space="preserve">H202-A </v>
      </c>
      <c r="E41" s="1"/>
      <c r="F41" s="1"/>
      <c r="G41" s="1"/>
      <c r="H41" s="5">
        <v>810</v>
      </c>
      <c r="I41" s="5">
        <f t="shared" si="1"/>
        <v>100</v>
      </c>
      <c r="J41" s="8">
        <f t="shared" si="2"/>
        <v>90</v>
      </c>
      <c r="K41" s="8">
        <f t="shared" si="5"/>
        <v>1.1111111111111112</v>
      </c>
      <c r="L41" s="1">
        <v>100</v>
      </c>
      <c r="M41" s="7">
        <f t="shared" si="3"/>
        <v>100</v>
      </c>
      <c r="N41" s="13">
        <v>100</v>
      </c>
      <c r="O41" s="1">
        <v>100</v>
      </c>
      <c r="P41" s="13"/>
      <c r="Q41" s="1"/>
      <c r="R41" s="13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7" ht="13.8">
      <c r="A42" s="1"/>
      <c r="B42" s="5" t="s">
        <v>54</v>
      </c>
      <c r="C42" s="7"/>
      <c r="D42" s="7" t="str">
        <f t="shared" si="0"/>
        <v xml:space="preserve">H205-A </v>
      </c>
      <c r="E42" s="1"/>
      <c r="F42" s="1"/>
      <c r="G42" s="1"/>
      <c r="H42" s="5">
        <v>810</v>
      </c>
      <c r="I42" s="5">
        <f t="shared" si="1"/>
        <v>200</v>
      </c>
      <c r="J42" s="8">
        <f t="shared" si="2"/>
        <v>90</v>
      </c>
      <c r="K42" s="8">
        <f t="shared" si="5"/>
        <v>-1.1111111111111112</v>
      </c>
      <c r="L42" s="7"/>
      <c r="M42" s="7">
        <f t="shared" si="3"/>
        <v>-100</v>
      </c>
      <c r="N42" s="13">
        <v>100</v>
      </c>
      <c r="O42" s="1">
        <v>100</v>
      </c>
      <c r="P42" s="13"/>
      <c r="Q42" s="1">
        <v>100</v>
      </c>
      <c r="R42" s="13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7" ht="13.8">
      <c r="A43" s="1"/>
      <c r="B43" s="5" t="s">
        <v>55</v>
      </c>
      <c r="C43" s="7"/>
      <c r="D43" s="7" t="str">
        <f t="shared" si="0"/>
        <v xml:space="preserve">H216-A </v>
      </c>
      <c r="E43" s="1"/>
      <c r="F43" s="1"/>
      <c r="G43" s="1"/>
      <c r="H43" s="5">
        <v>810</v>
      </c>
      <c r="I43" s="5">
        <f t="shared" si="1"/>
        <v>116</v>
      </c>
      <c r="J43" s="8">
        <f t="shared" si="2"/>
        <v>90</v>
      </c>
      <c r="K43" s="8">
        <f t="shared" si="5"/>
        <v>0.37777777777777777</v>
      </c>
      <c r="L43" s="1">
        <v>50</v>
      </c>
      <c r="M43" s="7">
        <f t="shared" si="3"/>
        <v>34</v>
      </c>
      <c r="N43" s="13">
        <v>100</v>
      </c>
      <c r="O43" s="1"/>
      <c r="P43" s="13"/>
      <c r="Q43" s="1">
        <v>116</v>
      </c>
      <c r="R43" s="13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7" ht="13.8">
      <c r="A44" s="1"/>
      <c r="B44" s="1" t="s">
        <v>62</v>
      </c>
      <c r="C44" s="7" t="s">
        <v>37</v>
      </c>
      <c r="D44" s="7" t="str">
        <f t="shared" si="0"/>
        <v>H215-A CPP</v>
      </c>
      <c r="E44" s="1"/>
      <c r="F44" s="1"/>
      <c r="G44" s="1"/>
      <c r="H44" s="5">
        <v>810</v>
      </c>
      <c r="I44" s="5">
        <f t="shared" si="1"/>
        <v>62</v>
      </c>
      <c r="J44" s="8">
        <f t="shared" si="2"/>
        <v>90</v>
      </c>
      <c r="K44" s="8">
        <f t="shared" si="5"/>
        <v>0.42222222222222222</v>
      </c>
      <c r="L44" s="7">
        <v>100</v>
      </c>
      <c r="M44" s="7">
        <f t="shared" si="3"/>
        <v>38</v>
      </c>
      <c r="N44" s="1"/>
      <c r="O44" s="1"/>
      <c r="P44" s="1"/>
      <c r="Q44" s="1">
        <v>62</v>
      </c>
      <c r="R44" s="1"/>
      <c r="S44" s="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7" ht="13.8">
      <c r="A45" s="1"/>
      <c r="B45" s="1" t="s">
        <v>63</v>
      </c>
      <c r="C45" s="7" t="s">
        <v>64</v>
      </c>
      <c r="D45" s="7" t="str">
        <f t="shared" si="0"/>
        <v>H520-A ITR</v>
      </c>
      <c r="E45" s="1"/>
      <c r="F45" s="1"/>
      <c r="G45" s="1"/>
      <c r="H45" s="5">
        <v>810</v>
      </c>
      <c r="I45" s="5">
        <f t="shared" si="1"/>
        <v>0</v>
      </c>
      <c r="J45" s="8">
        <f t="shared" si="2"/>
        <v>90</v>
      </c>
      <c r="K45" s="8">
        <f t="shared" si="5"/>
        <v>1.1111111111111112</v>
      </c>
      <c r="L45" s="7">
        <v>100</v>
      </c>
      <c r="M45" s="7">
        <f t="shared" si="3"/>
        <v>100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7" ht="13.8">
      <c r="A46" s="1"/>
      <c r="B46" s="1" t="s">
        <v>65</v>
      </c>
      <c r="C46" s="7" t="s">
        <v>64</v>
      </c>
      <c r="D46" s="7" t="str">
        <f t="shared" si="0"/>
        <v>H501-A ITR</v>
      </c>
      <c r="E46" s="1"/>
      <c r="F46" s="1"/>
      <c r="G46" s="1"/>
      <c r="H46" s="5">
        <v>810</v>
      </c>
      <c r="I46" s="5">
        <f t="shared" si="1"/>
        <v>0</v>
      </c>
      <c r="J46" s="8">
        <f t="shared" si="2"/>
        <v>90</v>
      </c>
      <c r="K46" s="8">
        <f t="shared" si="5"/>
        <v>1.1111111111111112</v>
      </c>
      <c r="L46" s="7">
        <v>100</v>
      </c>
      <c r="M46" s="7">
        <f t="shared" si="3"/>
        <v>100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37" ht="13.8">
      <c r="A47" s="1"/>
      <c r="B47" s="1"/>
      <c r="C47" s="7"/>
      <c r="D47" s="7" t="str">
        <f t="shared" si="0"/>
        <v xml:space="preserve"> </v>
      </c>
      <c r="E47" s="1"/>
      <c r="F47" s="1"/>
      <c r="G47" s="1"/>
      <c r="H47" s="5"/>
      <c r="I47" s="5">
        <f t="shared" si="1"/>
        <v>0</v>
      </c>
      <c r="J47" s="8">
        <f t="shared" si="2"/>
        <v>0</v>
      </c>
      <c r="K47" s="8" t="str">
        <f t="shared" si="5"/>
        <v/>
      </c>
      <c r="L47" s="1"/>
      <c r="M47" s="7">
        <f t="shared" si="3"/>
        <v>0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37" ht="13.8">
      <c r="A48" s="1"/>
      <c r="B48" s="1"/>
      <c r="C48" s="7"/>
      <c r="D48" s="7" t="str">
        <f t="shared" si="0"/>
        <v xml:space="preserve"> </v>
      </c>
      <c r="E48" s="1"/>
      <c r="F48" s="1"/>
      <c r="G48" s="1"/>
      <c r="H48" s="5"/>
      <c r="I48" s="5">
        <f t="shared" si="1"/>
        <v>0</v>
      </c>
      <c r="J48" s="8">
        <f t="shared" si="2"/>
        <v>0</v>
      </c>
      <c r="K48" s="8" t="str">
        <f t="shared" si="5"/>
        <v/>
      </c>
      <c r="L48" s="7"/>
      <c r="M48" s="7">
        <f t="shared" si="3"/>
        <v>0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ht="13.8">
      <c r="A49" s="1"/>
      <c r="B49" s="1"/>
      <c r="C49" s="7"/>
      <c r="D49" s="7" t="str">
        <f t="shared" si="0"/>
        <v xml:space="preserve"> </v>
      </c>
      <c r="E49" s="1"/>
      <c r="F49" s="1"/>
      <c r="G49" s="1"/>
      <c r="H49" s="5"/>
      <c r="I49" s="5">
        <f t="shared" si="1"/>
        <v>0</v>
      </c>
      <c r="J49" s="8">
        <f t="shared" si="2"/>
        <v>0</v>
      </c>
      <c r="K49" s="8" t="str">
        <f t="shared" si="5"/>
        <v/>
      </c>
      <c r="L49" s="1"/>
      <c r="M49" s="7">
        <f t="shared" si="3"/>
        <v>0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ht="13.8">
      <c r="A50" s="1"/>
      <c r="B50" s="1"/>
      <c r="C50" s="7"/>
      <c r="D50" s="7" t="str">
        <f t="shared" si="0"/>
        <v xml:space="preserve"> </v>
      </c>
      <c r="E50" s="1"/>
      <c r="F50" s="1"/>
      <c r="G50" s="1"/>
      <c r="H50" s="5"/>
      <c r="I50" s="5">
        <f t="shared" si="1"/>
        <v>0</v>
      </c>
      <c r="J50" s="8">
        <f t="shared" si="2"/>
        <v>0</v>
      </c>
      <c r="K50" s="8" t="str">
        <f t="shared" si="5"/>
        <v/>
      </c>
      <c r="L50" s="7"/>
      <c r="M50" s="7">
        <f t="shared" si="3"/>
        <v>0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ht="13.8">
      <c r="A51" s="1"/>
      <c r="B51" s="1"/>
      <c r="C51" s="7"/>
      <c r="D51" s="7" t="str">
        <f t="shared" si="0"/>
        <v xml:space="preserve"> </v>
      </c>
      <c r="E51" s="1"/>
      <c r="F51" s="1"/>
      <c r="G51" s="1"/>
      <c r="H51" s="5"/>
      <c r="I51" s="5">
        <f t="shared" si="1"/>
        <v>0</v>
      </c>
      <c r="J51" s="8">
        <f t="shared" si="2"/>
        <v>0</v>
      </c>
      <c r="K51" s="8" t="str">
        <f t="shared" si="5"/>
        <v/>
      </c>
      <c r="L51" s="1"/>
      <c r="M51" s="7">
        <f t="shared" si="3"/>
        <v>0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ht="13.8">
      <c r="A52" s="1"/>
      <c r="B52" s="1"/>
      <c r="C52" s="7"/>
      <c r="D52" s="7" t="str">
        <f t="shared" si="0"/>
        <v xml:space="preserve"> </v>
      </c>
      <c r="E52" s="1"/>
      <c r="F52" s="1"/>
      <c r="G52" s="1"/>
      <c r="H52" s="5"/>
      <c r="I52" s="5">
        <f t="shared" si="1"/>
        <v>0</v>
      </c>
      <c r="J52" s="8">
        <f t="shared" si="2"/>
        <v>0</v>
      </c>
      <c r="K52" s="8" t="str">
        <f t="shared" si="5"/>
        <v/>
      </c>
      <c r="L52" s="7"/>
      <c r="M52" s="7">
        <f t="shared" si="3"/>
        <v>0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ht="13.8">
      <c r="A53" s="1"/>
      <c r="B53" s="1"/>
      <c r="C53" s="7"/>
      <c r="D53" s="7" t="str">
        <f t="shared" si="0"/>
        <v xml:space="preserve"> </v>
      </c>
      <c r="E53" s="1"/>
      <c r="F53" s="1"/>
      <c r="G53" s="1"/>
      <c r="H53" s="5"/>
      <c r="I53" s="5">
        <f t="shared" si="1"/>
        <v>0</v>
      </c>
      <c r="J53" s="8">
        <f t="shared" si="2"/>
        <v>0</v>
      </c>
      <c r="K53" s="8" t="str">
        <f t="shared" si="5"/>
        <v/>
      </c>
      <c r="L53" s="7"/>
      <c r="M53" s="7">
        <f t="shared" si="3"/>
        <v>0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ht="13.8">
      <c r="A54" s="1"/>
      <c r="B54" s="1"/>
      <c r="C54" s="7"/>
      <c r="D54" s="7" t="str">
        <f t="shared" si="0"/>
        <v xml:space="preserve"> </v>
      </c>
      <c r="E54" s="1"/>
      <c r="F54" s="1"/>
      <c r="G54" s="1"/>
      <c r="H54" s="5"/>
      <c r="I54" s="5">
        <f t="shared" si="1"/>
        <v>0</v>
      </c>
      <c r="J54" s="8">
        <f t="shared" si="2"/>
        <v>0</v>
      </c>
      <c r="K54" s="8" t="str">
        <f t="shared" si="5"/>
        <v/>
      </c>
      <c r="L54" s="7"/>
      <c r="M54" s="7">
        <f t="shared" si="3"/>
        <v>0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ht="13.8">
      <c r="A55" s="1"/>
      <c r="B55" s="1"/>
      <c r="C55" s="7"/>
      <c r="D55" s="7" t="str">
        <f t="shared" si="0"/>
        <v xml:space="preserve"> </v>
      </c>
      <c r="E55" s="1"/>
      <c r="F55" s="1"/>
      <c r="G55" s="1"/>
      <c r="H55" s="5"/>
      <c r="I55" s="5">
        <f t="shared" si="1"/>
        <v>0</v>
      </c>
      <c r="J55" s="8">
        <f t="shared" si="2"/>
        <v>0</v>
      </c>
      <c r="K55" s="8" t="str">
        <f t="shared" si="5"/>
        <v/>
      </c>
      <c r="L55" s="7"/>
      <c r="M55" s="7">
        <f t="shared" si="3"/>
        <v>0</v>
      </c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ht="13.8">
      <c r="A56" s="1"/>
      <c r="B56" s="1"/>
      <c r="C56" s="7"/>
      <c r="D56" s="7" t="str">
        <f t="shared" si="0"/>
        <v xml:space="preserve"> </v>
      </c>
      <c r="E56" s="1"/>
      <c r="F56" s="1"/>
      <c r="G56" s="1"/>
      <c r="H56" s="5"/>
      <c r="I56" s="5">
        <f t="shared" si="1"/>
        <v>0</v>
      </c>
      <c r="J56" s="8">
        <f t="shared" si="2"/>
        <v>0</v>
      </c>
      <c r="K56" s="8" t="str">
        <f t="shared" si="5"/>
        <v/>
      </c>
      <c r="L56" s="7"/>
      <c r="M56" s="7">
        <f t="shared" si="3"/>
        <v>0</v>
      </c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 ht="13.8">
      <c r="A57" s="1"/>
      <c r="B57" s="1"/>
      <c r="C57" s="7"/>
      <c r="D57" s="7" t="str">
        <f t="shared" si="0"/>
        <v xml:space="preserve"> </v>
      </c>
      <c r="E57" s="1"/>
      <c r="F57" s="1"/>
      <c r="G57" s="1"/>
      <c r="H57" s="5"/>
      <c r="I57" s="5">
        <f t="shared" si="1"/>
        <v>0</v>
      </c>
      <c r="J57" s="8">
        <f t="shared" si="2"/>
        <v>0</v>
      </c>
      <c r="K57" s="8" t="str">
        <f t="shared" si="5"/>
        <v/>
      </c>
      <c r="L57" s="7"/>
      <c r="M57" s="7">
        <f t="shared" si="3"/>
        <v>0</v>
      </c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 ht="13.8">
      <c r="A58" s="1"/>
      <c r="B58" s="1"/>
      <c r="C58" s="7"/>
      <c r="D58" s="7" t="str">
        <f t="shared" si="0"/>
        <v xml:space="preserve"> </v>
      </c>
      <c r="E58" s="1"/>
      <c r="F58" s="1"/>
      <c r="G58" s="1"/>
      <c r="H58" s="5"/>
      <c r="I58" s="5">
        <f t="shared" si="1"/>
        <v>0</v>
      </c>
      <c r="J58" s="8">
        <f t="shared" si="2"/>
        <v>0</v>
      </c>
      <c r="K58" s="8" t="str">
        <f t="shared" si="5"/>
        <v/>
      </c>
      <c r="L58" s="7"/>
      <c r="M58" s="7">
        <f t="shared" si="3"/>
        <v>0</v>
      </c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 ht="13.8">
      <c r="A59" s="1"/>
      <c r="B59" s="1"/>
      <c r="C59" s="7"/>
      <c r="D59" s="7" t="str">
        <f t="shared" si="0"/>
        <v xml:space="preserve"> </v>
      </c>
      <c r="E59" s="1"/>
      <c r="F59" s="1"/>
      <c r="G59" s="1"/>
      <c r="H59" s="5"/>
      <c r="I59" s="5">
        <f t="shared" si="1"/>
        <v>0</v>
      </c>
      <c r="J59" s="8">
        <f t="shared" si="2"/>
        <v>0</v>
      </c>
      <c r="K59" s="8" t="str">
        <f t="shared" si="5"/>
        <v/>
      </c>
      <c r="L59" s="7"/>
      <c r="M59" s="7">
        <f t="shared" si="3"/>
        <v>0</v>
      </c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ht="13.8">
      <c r="A60" s="1"/>
      <c r="B60" s="1"/>
      <c r="C60" s="7"/>
      <c r="D60" s="7" t="str">
        <f t="shared" si="0"/>
        <v xml:space="preserve"> </v>
      </c>
      <c r="E60" s="1"/>
      <c r="F60" s="1"/>
      <c r="G60" s="1"/>
      <c r="H60" s="5"/>
      <c r="I60" s="5">
        <f t="shared" si="1"/>
        <v>0</v>
      </c>
      <c r="J60" s="8">
        <f t="shared" si="2"/>
        <v>0</v>
      </c>
      <c r="K60" s="8" t="str">
        <f t="shared" si="5"/>
        <v/>
      </c>
      <c r="L60" s="7"/>
      <c r="M60" s="7">
        <f t="shared" si="3"/>
        <v>0</v>
      </c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</row>
    <row r="61" spans="1:36" ht="13.8">
      <c r="A61" s="1"/>
      <c r="B61" s="1"/>
      <c r="C61" s="7"/>
      <c r="D61" s="7" t="str">
        <f t="shared" si="0"/>
        <v xml:space="preserve"> </v>
      </c>
      <c r="E61" s="1"/>
      <c r="F61" s="1"/>
      <c r="G61" s="1"/>
      <c r="H61" s="5"/>
      <c r="I61" s="5">
        <f t="shared" si="1"/>
        <v>0</v>
      </c>
      <c r="J61" s="8">
        <f t="shared" si="2"/>
        <v>0</v>
      </c>
      <c r="K61" s="8" t="str">
        <f t="shared" si="5"/>
        <v/>
      </c>
      <c r="L61" s="7"/>
      <c r="M61" s="7">
        <f t="shared" si="3"/>
        <v>0</v>
      </c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</row>
    <row r="62" spans="1:36" ht="13.8">
      <c r="A62" s="1"/>
      <c r="B62" s="1"/>
      <c r="C62" s="7"/>
      <c r="D62" s="7" t="str">
        <f t="shared" si="0"/>
        <v xml:space="preserve"> </v>
      </c>
      <c r="E62" s="1"/>
      <c r="F62" s="1"/>
      <c r="G62" s="1"/>
      <c r="H62" s="5"/>
      <c r="I62" s="5">
        <f t="shared" si="1"/>
        <v>0</v>
      </c>
      <c r="J62" s="8">
        <f t="shared" si="2"/>
        <v>0</v>
      </c>
      <c r="K62" s="8" t="str">
        <f t="shared" si="5"/>
        <v/>
      </c>
      <c r="L62" s="7"/>
      <c r="M62" s="7">
        <f t="shared" si="3"/>
        <v>0</v>
      </c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</row>
    <row r="63" spans="1:36" ht="13.8">
      <c r="A63" s="1"/>
      <c r="B63" s="1"/>
      <c r="C63" s="7"/>
      <c r="D63" s="7" t="str">
        <f t="shared" si="0"/>
        <v xml:space="preserve"> </v>
      </c>
      <c r="E63" s="1"/>
      <c r="F63" s="1"/>
      <c r="G63" s="1"/>
      <c r="H63" s="5"/>
      <c r="I63" s="5">
        <f t="shared" si="1"/>
        <v>0</v>
      </c>
      <c r="J63" s="8">
        <f t="shared" si="2"/>
        <v>0</v>
      </c>
      <c r="K63" s="8" t="str">
        <f t="shared" si="5"/>
        <v/>
      </c>
      <c r="L63" s="7"/>
      <c r="M63" s="7">
        <f t="shared" si="3"/>
        <v>0</v>
      </c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</row>
    <row r="64" spans="1:36" ht="13.8">
      <c r="A64" s="1"/>
      <c r="B64" s="1"/>
      <c r="C64" s="7"/>
      <c r="D64" s="7" t="str">
        <f t="shared" si="0"/>
        <v xml:space="preserve"> </v>
      </c>
      <c r="E64" s="1"/>
      <c r="F64" s="1"/>
      <c r="G64" s="1"/>
      <c r="H64" s="5"/>
      <c r="I64" s="5">
        <f t="shared" si="1"/>
        <v>0</v>
      </c>
      <c r="J64" s="8">
        <f t="shared" si="2"/>
        <v>0</v>
      </c>
      <c r="K64" s="8" t="str">
        <f t="shared" si="5"/>
        <v/>
      </c>
      <c r="L64" s="7"/>
      <c r="M64" s="7">
        <f t="shared" si="3"/>
        <v>0</v>
      </c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</row>
    <row r="65" spans="1:36" ht="13.8">
      <c r="A65" s="1"/>
      <c r="B65" s="1"/>
      <c r="C65" s="7"/>
      <c r="D65" s="7" t="str">
        <f t="shared" si="0"/>
        <v xml:space="preserve"> </v>
      </c>
      <c r="E65" s="1"/>
      <c r="F65" s="1"/>
      <c r="G65" s="1"/>
      <c r="H65" s="5"/>
      <c r="I65" s="5">
        <f t="shared" si="1"/>
        <v>0</v>
      </c>
      <c r="J65" s="8">
        <f t="shared" si="2"/>
        <v>0</v>
      </c>
      <c r="K65" s="8" t="str">
        <f t="shared" si="5"/>
        <v/>
      </c>
      <c r="L65" s="1"/>
      <c r="M65" s="7">
        <f t="shared" si="3"/>
        <v>0</v>
      </c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</row>
    <row r="66" spans="1:36" ht="13.8">
      <c r="A66" s="1"/>
      <c r="B66" s="1"/>
      <c r="C66" s="7"/>
      <c r="D66" s="7" t="str">
        <f t="shared" si="0"/>
        <v xml:space="preserve"> </v>
      </c>
      <c r="E66" s="1"/>
      <c r="F66" s="1"/>
      <c r="G66" s="1"/>
      <c r="H66" s="5"/>
      <c r="I66" s="5">
        <f t="shared" si="1"/>
        <v>0</v>
      </c>
      <c r="J66" s="8">
        <f t="shared" si="2"/>
        <v>0</v>
      </c>
      <c r="K66" s="8" t="str">
        <f t="shared" si="5"/>
        <v/>
      </c>
      <c r="L66" s="1"/>
      <c r="M66" s="7">
        <f t="shared" si="3"/>
        <v>0</v>
      </c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</row>
    <row r="67" spans="1:36" ht="13.8">
      <c r="A67" s="1"/>
      <c r="B67" s="1"/>
      <c r="C67" s="7"/>
      <c r="D67" s="7" t="str">
        <f t="shared" si="0"/>
        <v xml:space="preserve"> </v>
      </c>
      <c r="E67" s="1"/>
      <c r="F67" s="1"/>
      <c r="G67" s="1"/>
      <c r="H67" s="5"/>
      <c r="I67" s="5">
        <f t="shared" si="1"/>
        <v>0</v>
      </c>
      <c r="J67" s="8">
        <f t="shared" si="2"/>
        <v>0</v>
      </c>
      <c r="K67" s="8" t="str">
        <f t="shared" si="5"/>
        <v/>
      </c>
      <c r="L67" s="1"/>
      <c r="M67" s="7">
        <f t="shared" si="3"/>
        <v>0</v>
      </c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</row>
    <row r="68" spans="1:36" ht="13.8">
      <c r="A68" s="1"/>
      <c r="B68" s="1"/>
      <c r="C68" s="7"/>
      <c r="D68" s="7" t="str">
        <f t="shared" si="0"/>
        <v xml:space="preserve"> </v>
      </c>
      <c r="E68" s="1"/>
      <c r="F68" s="1"/>
      <c r="G68" s="1"/>
      <c r="H68" s="5"/>
      <c r="I68" s="5">
        <f t="shared" si="1"/>
        <v>0</v>
      </c>
      <c r="J68" s="8">
        <f t="shared" si="2"/>
        <v>0</v>
      </c>
      <c r="K68" s="8" t="str">
        <f t="shared" si="5"/>
        <v/>
      </c>
      <c r="L68" s="1"/>
      <c r="M68" s="7">
        <f t="shared" si="3"/>
        <v>0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</row>
    <row r="69" spans="1:36" ht="13.8">
      <c r="A69" s="1"/>
      <c r="B69" s="1"/>
      <c r="C69" s="7"/>
      <c r="D69" s="7" t="str">
        <f t="shared" ref="D69:D100" si="6">IFERROR(CONCATENATE(B69," ",C69),"")</f>
        <v xml:space="preserve"> </v>
      </c>
      <c r="E69" s="1"/>
      <c r="F69" s="1"/>
      <c r="G69" s="1"/>
      <c r="H69" s="5"/>
      <c r="I69" s="5">
        <f t="shared" ref="I69:I100" si="7">O69+Q69+S69+U69+W69+Y69+AA69+AC69+AE69+AH69+AJ69</f>
        <v>0</v>
      </c>
      <c r="J69" s="8">
        <f t="shared" ref="J69:J100" si="8">H69/9</f>
        <v>0</v>
      </c>
      <c r="K69" s="8" t="str">
        <f t="shared" si="5"/>
        <v/>
      </c>
      <c r="L69" s="1"/>
      <c r="M69" s="7">
        <f t="shared" ref="M69:M100" si="9">IFERROR(SUM(N69+P69+R69+T69+V69+X69+Z69+AB69+AD69+AG69+AI69+L69-SUM(O69+Q69+S69+U69+W69+Y69+AA69+AC69+AE69+AH69+AJ69)),"")</f>
        <v>0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</row>
    <row r="70" spans="1:36" ht="13.8">
      <c r="A70" s="1"/>
      <c r="B70" s="1"/>
      <c r="C70" s="7"/>
      <c r="D70" s="7" t="str">
        <f t="shared" si="6"/>
        <v xml:space="preserve"> </v>
      </c>
      <c r="E70" s="1"/>
      <c r="F70" s="1"/>
      <c r="G70" s="1"/>
      <c r="H70" s="5"/>
      <c r="I70" s="5">
        <f t="shared" si="7"/>
        <v>0</v>
      </c>
      <c r="J70" s="8">
        <f t="shared" si="8"/>
        <v>0</v>
      </c>
      <c r="K70" s="8" t="str">
        <f t="shared" si="5"/>
        <v/>
      </c>
      <c r="L70" s="1"/>
      <c r="M70" s="7">
        <f t="shared" si="9"/>
        <v>0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</row>
    <row r="71" spans="1:36" ht="13.8">
      <c r="D71" s="7" t="str">
        <f t="shared" si="6"/>
        <v xml:space="preserve"> </v>
      </c>
      <c r="I71" s="5">
        <f t="shared" si="7"/>
        <v>0</v>
      </c>
      <c r="J71" s="8">
        <f t="shared" si="8"/>
        <v>0</v>
      </c>
      <c r="M71" s="7">
        <f t="shared" si="9"/>
        <v>0</v>
      </c>
    </row>
    <row r="72" spans="1:36" ht="13.8">
      <c r="D72" s="7" t="str">
        <f t="shared" si="6"/>
        <v xml:space="preserve"> </v>
      </c>
      <c r="I72" s="5">
        <f t="shared" si="7"/>
        <v>0</v>
      </c>
      <c r="J72" s="8">
        <f t="shared" si="8"/>
        <v>0</v>
      </c>
      <c r="M72" s="7">
        <f t="shared" si="9"/>
        <v>0</v>
      </c>
    </row>
    <row r="73" spans="1:36" ht="13.8">
      <c r="D73" s="7" t="str">
        <f t="shared" si="6"/>
        <v xml:space="preserve"> </v>
      </c>
      <c r="I73" s="5">
        <f t="shared" si="7"/>
        <v>0</v>
      </c>
      <c r="J73" s="8">
        <f t="shared" si="8"/>
        <v>0</v>
      </c>
      <c r="M73" s="7">
        <f t="shared" si="9"/>
        <v>0</v>
      </c>
    </row>
    <row r="74" spans="1:36" ht="13.8">
      <c r="D74" s="7" t="str">
        <f t="shared" si="6"/>
        <v xml:space="preserve"> </v>
      </c>
      <c r="I74" s="5">
        <f t="shared" si="7"/>
        <v>0</v>
      </c>
      <c r="J74" s="8">
        <f t="shared" si="8"/>
        <v>0</v>
      </c>
      <c r="M74" s="7">
        <f t="shared" si="9"/>
        <v>0</v>
      </c>
    </row>
    <row r="75" spans="1:36" ht="13.8">
      <c r="D75" s="7" t="str">
        <f t="shared" si="6"/>
        <v xml:space="preserve"> </v>
      </c>
      <c r="I75" s="5">
        <f t="shared" si="7"/>
        <v>0</v>
      </c>
      <c r="J75" s="8">
        <f t="shared" si="8"/>
        <v>0</v>
      </c>
      <c r="M75" s="7">
        <f t="shared" si="9"/>
        <v>0</v>
      </c>
    </row>
    <row r="76" spans="1:36" ht="13.8">
      <c r="D76" s="7" t="str">
        <f t="shared" si="6"/>
        <v xml:space="preserve"> </v>
      </c>
      <c r="I76" s="5">
        <f t="shared" si="7"/>
        <v>0</v>
      </c>
      <c r="J76" s="8">
        <f t="shared" si="8"/>
        <v>0</v>
      </c>
      <c r="M76" s="7">
        <f t="shared" si="9"/>
        <v>0</v>
      </c>
    </row>
    <row r="77" spans="1:36" ht="13.8">
      <c r="D77" s="7" t="str">
        <f t="shared" si="6"/>
        <v xml:space="preserve"> </v>
      </c>
      <c r="I77" s="5">
        <f t="shared" si="7"/>
        <v>0</v>
      </c>
      <c r="J77" s="8">
        <f t="shared" si="8"/>
        <v>0</v>
      </c>
      <c r="M77" s="7">
        <f t="shared" si="9"/>
        <v>0</v>
      </c>
    </row>
    <row r="78" spans="1:36" ht="13.8">
      <c r="D78" s="7" t="str">
        <f t="shared" si="6"/>
        <v xml:space="preserve"> </v>
      </c>
      <c r="I78" s="5">
        <f t="shared" si="7"/>
        <v>0</v>
      </c>
      <c r="J78" s="8">
        <f t="shared" si="8"/>
        <v>0</v>
      </c>
      <c r="M78" s="7">
        <f t="shared" si="9"/>
        <v>0</v>
      </c>
    </row>
    <row r="79" spans="1:36" ht="13.8">
      <c r="D79" s="7" t="str">
        <f t="shared" si="6"/>
        <v xml:space="preserve"> </v>
      </c>
      <c r="I79" s="5">
        <f t="shared" si="7"/>
        <v>0</v>
      </c>
      <c r="J79" s="8">
        <f t="shared" si="8"/>
        <v>0</v>
      </c>
      <c r="M79" s="7">
        <f t="shared" si="9"/>
        <v>0</v>
      </c>
    </row>
    <row r="80" spans="1:36" ht="13.8">
      <c r="D80" s="7" t="str">
        <f t="shared" si="6"/>
        <v xml:space="preserve"> </v>
      </c>
      <c r="I80" s="5">
        <f t="shared" si="7"/>
        <v>0</v>
      </c>
      <c r="J80" s="8">
        <f t="shared" si="8"/>
        <v>0</v>
      </c>
      <c r="M80" s="7">
        <f t="shared" si="9"/>
        <v>0</v>
      </c>
    </row>
    <row r="81" spans="4:13" ht="13.8">
      <c r="D81" s="7" t="str">
        <f t="shared" si="6"/>
        <v xml:space="preserve"> </v>
      </c>
      <c r="I81" s="5">
        <f t="shared" si="7"/>
        <v>0</v>
      </c>
      <c r="J81" s="8">
        <f t="shared" si="8"/>
        <v>0</v>
      </c>
      <c r="M81" s="7">
        <f t="shared" si="9"/>
        <v>0</v>
      </c>
    </row>
    <row r="82" spans="4:13" ht="13.8">
      <c r="D82" s="7" t="str">
        <f t="shared" si="6"/>
        <v xml:space="preserve"> </v>
      </c>
      <c r="I82" s="5">
        <f t="shared" si="7"/>
        <v>0</v>
      </c>
      <c r="J82" s="8">
        <f t="shared" si="8"/>
        <v>0</v>
      </c>
      <c r="M82" s="7">
        <f t="shared" si="9"/>
        <v>0</v>
      </c>
    </row>
    <row r="83" spans="4:13" ht="13.8">
      <c r="D83" s="7" t="str">
        <f t="shared" si="6"/>
        <v xml:space="preserve"> </v>
      </c>
      <c r="I83" s="5">
        <f t="shared" si="7"/>
        <v>0</v>
      </c>
      <c r="J83" s="8">
        <f t="shared" si="8"/>
        <v>0</v>
      </c>
      <c r="M83" s="7">
        <f t="shared" si="9"/>
        <v>0</v>
      </c>
    </row>
    <row r="84" spans="4:13" ht="13.8">
      <c r="D84" s="7" t="str">
        <f t="shared" si="6"/>
        <v xml:space="preserve"> </v>
      </c>
      <c r="I84" s="5">
        <f t="shared" si="7"/>
        <v>0</v>
      </c>
      <c r="J84" s="8">
        <f t="shared" si="8"/>
        <v>0</v>
      </c>
      <c r="M84" s="7">
        <f t="shared" si="9"/>
        <v>0</v>
      </c>
    </row>
    <row r="85" spans="4:13" ht="13.8">
      <c r="D85" s="7" t="str">
        <f t="shared" si="6"/>
        <v xml:space="preserve"> </v>
      </c>
      <c r="I85" s="5">
        <f t="shared" si="7"/>
        <v>0</v>
      </c>
      <c r="J85" s="8">
        <f t="shared" si="8"/>
        <v>0</v>
      </c>
      <c r="M85" s="7">
        <f t="shared" si="9"/>
        <v>0</v>
      </c>
    </row>
    <row r="86" spans="4:13" ht="13.8">
      <c r="D86" s="7" t="str">
        <f t="shared" si="6"/>
        <v xml:space="preserve"> </v>
      </c>
      <c r="I86" s="5">
        <f t="shared" si="7"/>
        <v>0</v>
      </c>
      <c r="J86" s="8">
        <f t="shared" si="8"/>
        <v>0</v>
      </c>
      <c r="M86" s="7">
        <f t="shared" si="9"/>
        <v>0</v>
      </c>
    </row>
    <row r="87" spans="4:13" ht="13.8">
      <c r="D87" s="7" t="str">
        <f t="shared" si="6"/>
        <v xml:space="preserve"> </v>
      </c>
      <c r="I87" s="5">
        <f t="shared" si="7"/>
        <v>0</v>
      </c>
      <c r="J87" s="8">
        <f t="shared" si="8"/>
        <v>0</v>
      </c>
      <c r="M87" s="7">
        <f t="shared" si="9"/>
        <v>0</v>
      </c>
    </row>
    <row r="88" spans="4:13" ht="13.8">
      <c r="D88" s="7" t="str">
        <f t="shared" si="6"/>
        <v xml:space="preserve"> </v>
      </c>
      <c r="I88" s="5">
        <f t="shared" si="7"/>
        <v>0</v>
      </c>
      <c r="J88" s="8">
        <f t="shared" si="8"/>
        <v>0</v>
      </c>
      <c r="M88" s="7">
        <f t="shared" si="9"/>
        <v>0</v>
      </c>
    </row>
    <row r="89" spans="4:13" ht="13.8">
      <c r="D89" s="7" t="str">
        <f t="shared" si="6"/>
        <v xml:space="preserve"> </v>
      </c>
      <c r="I89" s="5">
        <f t="shared" si="7"/>
        <v>0</v>
      </c>
      <c r="J89" s="8">
        <f t="shared" si="8"/>
        <v>0</v>
      </c>
      <c r="M89" s="7">
        <f t="shared" si="9"/>
        <v>0</v>
      </c>
    </row>
    <row r="90" spans="4:13" ht="13.8">
      <c r="D90" s="7" t="str">
        <f t="shared" si="6"/>
        <v xml:space="preserve"> </v>
      </c>
      <c r="I90" s="5">
        <f t="shared" si="7"/>
        <v>0</v>
      </c>
      <c r="J90" s="8">
        <f t="shared" si="8"/>
        <v>0</v>
      </c>
      <c r="M90" s="7">
        <f t="shared" si="9"/>
        <v>0</v>
      </c>
    </row>
    <row r="91" spans="4:13" ht="13.8">
      <c r="D91" s="7" t="str">
        <f t="shared" si="6"/>
        <v xml:space="preserve"> </v>
      </c>
      <c r="I91" s="5">
        <f t="shared" si="7"/>
        <v>0</v>
      </c>
      <c r="J91" s="8">
        <f t="shared" si="8"/>
        <v>0</v>
      </c>
      <c r="M91" s="7">
        <f t="shared" si="9"/>
        <v>0</v>
      </c>
    </row>
    <row r="92" spans="4:13" ht="13.8">
      <c r="D92" s="7" t="str">
        <f t="shared" si="6"/>
        <v xml:space="preserve"> </v>
      </c>
      <c r="I92" s="5">
        <f t="shared" si="7"/>
        <v>0</v>
      </c>
      <c r="J92" s="8">
        <f t="shared" si="8"/>
        <v>0</v>
      </c>
      <c r="M92" s="7">
        <f t="shared" si="9"/>
        <v>0</v>
      </c>
    </row>
    <row r="93" spans="4:13" ht="13.8">
      <c r="D93" s="7" t="str">
        <f t="shared" si="6"/>
        <v xml:space="preserve"> </v>
      </c>
      <c r="I93" s="5">
        <f t="shared" si="7"/>
        <v>0</v>
      </c>
      <c r="J93" s="8">
        <f t="shared" si="8"/>
        <v>0</v>
      </c>
      <c r="M93" s="7">
        <f t="shared" si="9"/>
        <v>0</v>
      </c>
    </row>
    <row r="94" spans="4:13" ht="13.8">
      <c r="D94" s="7" t="str">
        <f t="shared" si="6"/>
        <v xml:space="preserve"> </v>
      </c>
      <c r="I94" s="5">
        <f t="shared" si="7"/>
        <v>0</v>
      </c>
      <c r="J94" s="8">
        <f t="shared" si="8"/>
        <v>0</v>
      </c>
      <c r="M94" s="7">
        <f t="shared" si="9"/>
        <v>0</v>
      </c>
    </row>
    <row r="95" spans="4:13" ht="13.8">
      <c r="D95" s="7" t="str">
        <f t="shared" si="6"/>
        <v xml:space="preserve"> </v>
      </c>
      <c r="I95" s="5">
        <f t="shared" si="7"/>
        <v>0</v>
      </c>
      <c r="J95" s="8">
        <f t="shared" si="8"/>
        <v>0</v>
      </c>
      <c r="M95" s="7">
        <f t="shared" si="9"/>
        <v>0</v>
      </c>
    </row>
    <row r="96" spans="4:13" ht="13.8">
      <c r="D96" s="7" t="str">
        <f t="shared" si="6"/>
        <v xml:space="preserve"> </v>
      </c>
      <c r="I96" s="5">
        <f t="shared" si="7"/>
        <v>0</v>
      </c>
      <c r="J96" s="8">
        <f t="shared" si="8"/>
        <v>0</v>
      </c>
      <c r="M96" s="7">
        <f t="shared" si="9"/>
        <v>0</v>
      </c>
    </row>
    <row r="97" spans="4:13" ht="13.8">
      <c r="D97" s="7" t="str">
        <f t="shared" si="6"/>
        <v xml:space="preserve"> </v>
      </c>
      <c r="I97" s="5">
        <f t="shared" si="7"/>
        <v>0</v>
      </c>
      <c r="J97" s="8">
        <f t="shared" si="8"/>
        <v>0</v>
      </c>
      <c r="M97" s="7">
        <f t="shared" si="9"/>
        <v>0</v>
      </c>
    </row>
    <row r="98" spans="4:13" ht="13.8">
      <c r="D98" s="7" t="str">
        <f t="shared" si="6"/>
        <v xml:space="preserve"> </v>
      </c>
      <c r="I98" s="5">
        <f t="shared" si="7"/>
        <v>0</v>
      </c>
      <c r="J98" s="8">
        <f t="shared" si="8"/>
        <v>0</v>
      </c>
      <c r="M98" s="7">
        <f t="shared" si="9"/>
        <v>0</v>
      </c>
    </row>
    <row r="99" spans="4:13" ht="13.8">
      <c r="D99" s="7" t="str">
        <f t="shared" si="6"/>
        <v xml:space="preserve"> </v>
      </c>
      <c r="I99" s="5">
        <f t="shared" si="7"/>
        <v>0</v>
      </c>
      <c r="J99" s="8">
        <f t="shared" si="8"/>
        <v>0</v>
      </c>
      <c r="M99" s="7">
        <f t="shared" si="9"/>
        <v>0</v>
      </c>
    </row>
    <row r="100" spans="4:13" ht="13.8">
      <c r="D100" s="7" t="str">
        <f t="shared" si="6"/>
        <v xml:space="preserve"> </v>
      </c>
      <c r="I100" s="5">
        <f t="shared" si="7"/>
        <v>0</v>
      </c>
      <c r="J100" s="8">
        <f t="shared" si="8"/>
        <v>0</v>
      </c>
      <c r="M100" s="7">
        <f t="shared" si="9"/>
        <v>0</v>
      </c>
    </row>
  </sheetData>
  <mergeCells count="35">
    <mergeCell ref="V2:W2"/>
    <mergeCell ref="AI2:AJ2"/>
    <mergeCell ref="Z1:AA1"/>
    <mergeCell ref="AB1:AC1"/>
    <mergeCell ref="AD1:AE1"/>
    <mergeCell ref="AG1:AH1"/>
    <mergeCell ref="AI1:AJ1"/>
    <mergeCell ref="X2:Y2"/>
    <mergeCell ref="Z2:AA2"/>
    <mergeCell ref="AB2:AC2"/>
    <mergeCell ref="AD2:AE2"/>
    <mergeCell ref="AG2:AH2"/>
    <mergeCell ref="X1:Y1"/>
    <mergeCell ref="H1:H3"/>
    <mergeCell ref="I1:I3"/>
    <mergeCell ref="J1:J3"/>
    <mergeCell ref="K1:K3"/>
    <mergeCell ref="L1:L3"/>
    <mergeCell ref="M1:M3"/>
    <mergeCell ref="N1:O1"/>
    <mergeCell ref="P1:Q1"/>
    <mergeCell ref="R1:S1"/>
    <mergeCell ref="T1:U1"/>
    <mergeCell ref="V1:W1"/>
    <mergeCell ref="N2:O2"/>
    <mergeCell ref="P2:Q2"/>
    <mergeCell ref="R2:S2"/>
    <mergeCell ref="T2:U2"/>
    <mergeCell ref="G1:G3"/>
    <mergeCell ref="D1:D3"/>
    <mergeCell ref="A1:A3"/>
    <mergeCell ref="B1:B3"/>
    <mergeCell ref="C1:C3"/>
    <mergeCell ref="E1:E3"/>
    <mergeCell ref="F1:F3"/>
  </mergeCells>
  <conditionalFormatting sqref="B1:B1048576">
    <cfRule type="duplicateValues" dxfId="46" priority="1"/>
  </conditionalFormatting>
  <conditionalFormatting sqref="L1:M1 M4:M100">
    <cfRule type="cellIs" dxfId="45" priority="2" operator="greaterThan">
      <formula>120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34"/>
  <sheetViews>
    <sheetView workbookViewId="0">
      <selection activeCell="M13" sqref="M13"/>
    </sheetView>
  </sheetViews>
  <sheetFormatPr defaultColWidth="8.69921875" defaultRowHeight="13.8"/>
  <cols>
    <col min="1" max="1" width="8.69921875" style="16"/>
    <col min="2" max="5" width="8.69921875" style="17"/>
    <col min="6" max="6" width="8.69921875" style="17" customWidth="1"/>
    <col min="7" max="9" width="8.69921875" style="17"/>
    <col min="10" max="11" width="8.69921875" style="17" customWidth="1"/>
    <col min="12" max="16384" width="8.69921875" style="17"/>
  </cols>
  <sheetData>
    <row r="1" spans="4:23" s="16" customFormat="1" ht="18.45" customHeight="1">
      <c r="F1" s="18"/>
      <c r="K1" s="35" t="s">
        <v>67</v>
      </c>
      <c r="L1" s="35"/>
      <c r="M1" s="35"/>
      <c r="N1" s="35"/>
      <c r="O1" s="35"/>
      <c r="P1" s="35"/>
      <c r="Q1" s="35"/>
      <c r="R1" s="35"/>
      <c r="S1" s="35"/>
      <c r="T1" s="35"/>
      <c r="U1" s="35"/>
      <c r="V1" s="18"/>
      <c r="W1" s="23" t="s">
        <v>105</v>
      </c>
    </row>
    <row r="2" spans="4:23" s="16" customFormat="1" ht="18.45" customHeight="1">
      <c r="F2" s="19"/>
      <c r="K2" s="36" t="s">
        <v>68</v>
      </c>
      <c r="L2" s="37"/>
      <c r="M2" s="37"/>
      <c r="N2" s="37"/>
      <c r="O2" s="37"/>
      <c r="P2" s="37"/>
      <c r="Q2" s="37"/>
      <c r="R2" s="37"/>
      <c r="S2" s="37"/>
      <c r="T2" s="37"/>
      <c r="U2" s="37"/>
      <c r="V2" s="19"/>
      <c r="W2" s="23" t="s">
        <v>106</v>
      </c>
    </row>
    <row r="3" spans="4:23" s="16" customFormat="1" ht="15.6">
      <c r="F3" s="20"/>
      <c r="I3" s="22" t="s">
        <v>66</v>
      </c>
      <c r="J3" s="22"/>
      <c r="V3" s="20"/>
      <c r="W3" s="23" t="s">
        <v>107</v>
      </c>
    </row>
    <row r="4" spans="4:23" s="16" customFormat="1" ht="15.6">
      <c r="F4" s="21"/>
      <c r="V4" s="21"/>
      <c r="W4" s="23" t="s">
        <v>108</v>
      </c>
    </row>
    <row r="5" spans="4:23">
      <c r="D5" s="7" t="str">
        <f>IFERROR(CONCATENATE(B5," ",C5),"")</f>
        <v xml:space="preserve"> </v>
      </c>
      <c r="E5" s="17" t="s">
        <v>102</v>
      </c>
      <c r="F5" s="17" t="s">
        <v>103</v>
      </c>
      <c r="G5" s="17" t="s">
        <v>104</v>
      </c>
    </row>
    <row r="6" spans="4:23">
      <c r="E6" s="5">
        <v>605</v>
      </c>
      <c r="F6" s="5">
        <f>L6+N6+P6+R6+T6+V6+X6+Z6+AB6+AE6+AG6</f>
        <v>0</v>
      </c>
      <c r="G6" s="8">
        <f>E6/9</f>
        <v>67.222222222222229</v>
      </c>
    </row>
    <row r="9" spans="4:23">
      <c r="D9" s="7" t="str">
        <f t="shared" ref="D9" si="0">IFERROR(CONCATENATE(B9," ",C9),"")</f>
        <v xml:space="preserve"> </v>
      </c>
      <c r="E9" s="17" t="s">
        <v>102</v>
      </c>
      <c r="F9" s="17" t="s">
        <v>103</v>
      </c>
      <c r="G9" s="17" t="s">
        <v>104</v>
      </c>
    </row>
    <row r="10" spans="4:23">
      <c r="E10" s="5">
        <v>440</v>
      </c>
      <c r="F10" s="5">
        <f t="shared" ref="F10" si="1">L10+N10+P10+R10+T10+V10+X10+Z10+AB10+AE10+AG10</f>
        <v>0</v>
      </c>
      <c r="G10" s="8">
        <f t="shared" ref="G10" si="2">E10/9</f>
        <v>48.888888888888886</v>
      </c>
    </row>
    <row r="13" spans="4:23">
      <c r="D13" s="7" t="str">
        <f t="shared" ref="D13" si="3">IFERROR(CONCATENATE(B13," ",C13),"")</f>
        <v xml:space="preserve"> </v>
      </c>
      <c r="E13" s="17" t="s">
        <v>102</v>
      </c>
      <c r="F13" s="17" t="s">
        <v>103</v>
      </c>
      <c r="G13" s="17" t="s">
        <v>104</v>
      </c>
    </row>
    <row r="14" spans="4:23">
      <c r="E14" s="5">
        <v>550</v>
      </c>
      <c r="F14" s="5">
        <f t="shared" ref="F14" si="4">L14+N14+P14+R14+T14+V14+X14+Z14+AB14+AE14+AG14</f>
        <v>0</v>
      </c>
      <c r="G14" s="8">
        <f>E14/9</f>
        <v>61.111111111111114</v>
      </c>
    </row>
    <row r="17" spans="4:7">
      <c r="D17" s="7" t="str">
        <f t="shared" ref="D17" si="5">IFERROR(CONCATENATE(B17," ",C17),"")</f>
        <v xml:space="preserve"> </v>
      </c>
      <c r="E17" s="17" t="s">
        <v>102</v>
      </c>
      <c r="F17" s="17" t="s">
        <v>103</v>
      </c>
      <c r="G17" s="17" t="s">
        <v>104</v>
      </c>
    </row>
    <row r="18" spans="4:7">
      <c r="E18" s="5">
        <v>495</v>
      </c>
      <c r="F18" s="5">
        <f t="shared" ref="F18" si="6">L18+N18+P18+R18+T18+V18+X18+Z18+AB18+AE18+AG18</f>
        <v>0</v>
      </c>
      <c r="G18" s="8">
        <f t="shared" ref="G18" si="7">E18/9</f>
        <v>55</v>
      </c>
    </row>
    <row r="21" spans="4:7">
      <c r="D21" s="7" t="str">
        <f t="shared" ref="D21" si="8">IFERROR(CONCATENATE(B21," ",C21),"")</f>
        <v xml:space="preserve"> </v>
      </c>
      <c r="E21" s="17" t="s">
        <v>102</v>
      </c>
      <c r="F21" s="17" t="s">
        <v>103</v>
      </c>
      <c r="G21" s="17" t="s">
        <v>104</v>
      </c>
    </row>
    <row r="22" spans="4:7">
      <c r="E22" s="5">
        <v>416</v>
      </c>
      <c r="F22" s="5">
        <f t="shared" ref="F22" si="9">L22+N22+P22+R22+T22+V22+X22+Z22+AB22+AE22+AG22</f>
        <v>0</v>
      </c>
      <c r="G22" s="8">
        <f t="shared" ref="G22" si="10">E22/9</f>
        <v>46.222222222222221</v>
      </c>
    </row>
    <row r="25" spans="4:7">
      <c r="D25" s="7" t="str">
        <f t="shared" ref="D25" si="11">IFERROR(CONCATENATE(B25," ",C25),"")</f>
        <v xml:space="preserve"> </v>
      </c>
      <c r="E25" s="17" t="s">
        <v>102</v>
      </c>
      <c r="F25" s="17" t="s">
        <v>103</v>
      </c>
      <c r="G25" s="17" t="s">
        <v>104</v>
      </c>
    </row>
    <row r="26" spans="4:7">
      <c r="E26" s="5">
        <v>448</v>
      </c>
      <c r="F26" s="5">
        <f t="shared" ref="F26" si="12">L26+N26+P26+R26+T26+V26+X26+Z26+AB26+AE26+AG26</f>
        <v>0</v>
      </c>
      <c r="G26" s="8">
        <f t="shared" ref="G26" si="13">E26/9</f>
        <v>49.777777777777779</v>
      </c>
    </row>
    <row r="29" spans="4:7">
      <c r="D29" s="7" t="str">
        <f t="shared" ref="D29" si="14">IFERROR(CONCATENATE(B29," ",C29),"")</f>
        <v xml:space="preserve"> </v>
      </c>
      <c r="E29" s="17" t="s">
        <v>102</v>
      </c>
      <c r="F29" s="17" t="s">
        <v>103</v>
      </c>
      <c r="G29" s="17" t="s">
        <v>104</v>
      </c>
    </row>
    <row r="30" spans="4:7">
      <c r="E30" s="5">
        <v>244</v>
      </c>
      <c r="F30" s="5">
        <f t="shared" ref="F30" si="15">L30+N30+P30+R30+T30+V30+X30+Z30+AB30+AE30+AG30</f>
        <v>0</v>
      </c>
      <c r="G30" s="8">
        <f t="shared" ref="G30" si="16">E30/9</f>
        <v>27.111111111111111</v>
      </c>
    </row>
    <row r="33" spans="4:7">
      <c r="D33" s="7" t="str">
        <f t="shared" ref="D33" si="17">IFERROR(CONCATENATE(B33," ",C33),"")</f>
        <v xml:space="preserve"> </v>
      </c>
      <c r="E33" s="17" t="s">
        <v>102</v>
      </c>
      <c r="F33" s="17" t="s">
        <v>103</v>
      </c>
      <c r="G33" s="17" t="s">
        <v>104</v>
      </c>
    </row>
    <row r="34" spans="4:7">
      <c r="E34" s="5">
        <v>121</v>
      </c>
      <c r="F34" s="5">
        <f t="shared" ref="F34" si="18">L34+N34+P34+R34+T34+V34+X34+Z34+AB34+AE34+AG34</f>
        <v>0</v>
      </c>
      <c r="G34" s="8">
        <f t="shared" ref="G34" si="19">E34/9</f>
        <v>13.444444444444445</v>
      </c>
    </row>
    <row r="37" spans="4:7">
      <c r="D37" s="7" t="str">
        <f t="shared" ref="D37" si="20">IFERROR(CONCATENATE(B37," ",C37),"")</f>
        <v xml:space="preserve"> </v>
      </c>
      <c r="E37" s="17" t="s">
        <v>102</v>
      </c>
      <c r="F37" s="17" t="s">
        <v>103</v>
      </c>
      <c r="G37" s="17" t="s">
        <v>104</v>
      </c>
    </row>
    <row r="38" spans="4:7">
      <c r="E38" s="5">
        <v>586</v>
      </c>
      <c r="F38" s="5">
        <f t="shared" ref="F38" si="21">L38+N38+P38+R38+T38+V38+X38+Z38+AB38+AE38+AG38</f>
        <v>0</v>
      </c>
      <c r="G38" s="8">
        <f t="shared" ref="G38" si="22">E38/9</f>
        <v>65.111111111111114</v>
      </c>
    </row>
    <row r="41" spans="4:7">
      <c r="D41" s="7" t="str">
        <f t="shared" ref="D41" si="23">IFERROR(CONCATENATE(B41," ",C41),"")</f>
        <v xml:space="preserve"> </v>
      </c>
      <c r="E41" s="17" t="s">
        <v>102</v>
      </c>
      <c r="F41" s="17" t="s">
        <v>103</v>
      </c>
      <c r="G41" s="17" t="s">
        <v>104</v>
      </c>
    </row>
    <row r="42" spans="4:7">
      <c r="E42" s="5">
        <v>240</v>
      </c>
      <c r="F42" s="5">
        <f t="shared" ref="F42" si="24">L42+N42+P42+R42+T42+V42+X42+Z42+AB42+AE42+AG42</f>
        <v>0</v>
      </c>
      <c r="G42" s="8">
        <f t="shared" ref="G42" si="25">E42/9</f>
        <v>26.666666666666668</v>
      </c>
    </row>
    <row r="45" spans="4:7">
      <c r="D45" s="7" t="str">
        <f t="shared" ref="D45" si="26">IFERROR(CONCATENATE(B45," ",C45),"")</f>
        <v xml:space="preserve"> </v>
      </c>
      <c r="E45" s="17" t="s">
        <v>102</v>
      </c>
      <c r="F45" s="17" t="s">
        <v>103</v>
      </c>
      <c r="G45" s="17" t="s">
        <v>104</v>
      </c>
    </row>
    <row r="46" spans="4:7">
      <c r="E46" s="5">
        <v>640</v>
      </c>
      <c r="F46" s="5">
        <f t="shared" ref="F46" si="27">L46+N46+P46+R46+T46+V46+X46+Z46+AB46+AE46+AG46</f>
        <v>0</v>
      </c>
      <c r="G46" s="8">
        <f t="shared" ref="G46" si="28">E46/9</f>
        <v>71.111111111111114</v>
      </c>
    </row>
    <row r="49" spans="4:7">
      <c r="D49" s="7" t="str">
        <f t="shared" ref="D49" si="29">IFERROR(CONCATENATE(B49," ",C49),"")</f>
        <v xml:space="preserve"> </v>
      </c>
      <c r="E49" s="17" t="s">
        <v>102</v>
      </c>
      <c r="F49" s="17" t="s">
        <v>103</v>
      </c>
      <c r="G49" s="17" t="s">
        <v>104</v>
      </c>
    </row>
    <row r="50" spans="4:7">
      <c r="E50" s="5">
        <v>810</v>
      </c>
      <c r="F50" s="5">
        <f t="shared" ref="F50" si="30">L50+N50+P50+R50+T50+V50+X50+Z50+AB50+AE50+AG50</f>
        <v>0</v>
      </c>
      <c r="G50" s="8">
        <f t="shared" ref="G50" si="31">E50/9</f>
        <v>90</v>
      </c>
    </row>
    <row r="53" spans="4:7">
      <c r="D53" s="7" t="str">
        <f t="shared" ref="D53" si="32">IFERROR(CONCATENATE(B53," ",C53),"")</f>
        <v xml:space="preserve"> </v>
      </c>
      <c r="E53" s="17" t="s">
        <v>102</v>
      </c>
      <c r="F53" s="17" t="s">
        <v>103</v>
      </c>
      <c r="G53" s="17" t="s">
        <v>104</v>
      </c>
    </row>
    <row r="54" spans="4:7">
      <c r="E54" s="5">
        <v>810</v>
      </c>
      <c r="F54" s="5">
        <f t="shared" ref="F54" si="33">L54+N54+P54+R54+T54+V54+X54+Z54+AB54+AE54+AG54</f>
        <v>0</v>
      </c>
      <c r="G54" s="8">
        <f t="shared" ref="G54" si="34">E54/9</f>
        <v>90</v>
      </c>
    </row>
    <row r="57" spans="4:7">
      <c r="D57" s="7" t="str">
        <f t="shared" ref="D57" si="35">IFERROR(CONCATENATE(B57," ",C57),"")</f>
        <v xml:space="preserve"> </v>
      </c>
      <c r="E57" s="17" t="s">
        <v>102</v>
      </c>
      <c r="F57" s="17" t="s">
        <v>103</v>
      </c>
      <c r="G57" s="17" t="s">
        <v>104</v>
      </c>
    </row>
    <row r="58" spans="4:7">
      <c r="E58" s="5">
        <v>810</v>
      </c>
      <c r="F58" s="5">
        <f t="shared" ref="F58" si="36">L58+N58+P58+R58+T58+V58+X58+Z58+AB58+AE58+AG58</f>
        <v>0</v>
      </c>
      <c r="G58" s="8">
        <f t="shared" ref="G58" si="37">E58/9</f>
        <v>90</v>
      </c>
    </row>
    <row r="61" spans="4:7">
      <c r="D61" s="7" t="str">
        <f t="shared" ref="D61" si="38">IFERROR(CONCATENATE(B61," ",C61),"")</f>
        <v xml:space="preserve"> </v>
      </c>
      <c r="E61" s="17" t="s">
        <v>102</v>
      </c>
      <c r="F61" s="17" t="s">
        <v>103</v>
      </c>
      <c r="G61" s="17" t="s">
        <v>104</v>
      </c>
    </row>
    <row r="62" spans="4:7">
      <c r="E62" s="5">
        <v>810</v>
      </c>
      <c r="F62" s="5">
        <f t="shared" ref="F62" si="39">L62+N62+P62+R62+T62+V62+X62+Z62+AB62+AE62+AG62</f>
        <v>0</v>
      </c>
      <c r="G62" s="8">
        <f t="shared" ref="G62" si="40">E62/9</f>
        <v>90</v>
      </c>
    </row>
    <row r="65" spans="4:7">
      <c r="D65" s="7" t="str">
        <f t="shared" ref="D65" si="41">IFERROR(CONCATENATE(B65," ",C65),"")</f>
        <v xml:space="preserve"> </v>
      </c>
      <c r="E65" s="17" t="s">
        <v>102</v>
      </c>
      <c r="F65" s="17" t="s">
        <v>103</v>
      </c>
      <c r="G65" s="17" t="s">
        <v>104</v>
      </c>
    </row>
    <row r="66" spans="4:7">
      <c r="E66" s="5">
        <v>810</v>
      </c>
      <c r="F66" s="5">
        <f t="shared" ref="F66" si="42">L66+N66+P66+R66+T66+V66+X66+Z66+AB66+AE66+AG66</f>
        <v>0</v>
      </c>
      <c r="G66" s="8">
        <f t="shared" ref="G66" si="43">E66/9</f>
        <v>90</v>
      </c>
    </row>
    <row r="69" spans="4:7">
      <c r="D69" s="7" t="str">
        <f t="shared" ref="D69" si="44">IFERROR(CONCATENATE(B69," ",C69),"")</f>
        <v xml:space="preserve"> </v>
      </c>
      <c r="E69" s="17" t="s">
        <v>102</v>
      </c>
      <c r="F69" s="17" t="s">
        <v>103</v>
      </c>
      <c r="G69" s="17" t="s">
        <v>104</v>
      </c>
    </row>
    <row r="70" spans="4:7">
      <c r="E70" s="5">
        <v>810</v>
      </c>
      <c r="F70" s="5">
        <f t="shared" ref="F70" si="45">L70+N70+P70+R70+T70+V70+X70+Z70+AB70+AE70+AG70</f>
        <v>0</v>
      </c>
      <c r="G70" s="8">
        <f t="shared" ref="G70" si="46">E70/9</f>
        <v>90</v>
      </c>
    </row>
    <row r="73" spans="4:7">
      <c r="D73" s="7" t="str">
        <f t="shared" ref="D73" si="47">IFERROR(CONCATENATE(B73," ",C73),"")</f>
        <v xml:space="preserve"> </v>
      </c>
      <c r="E73" s="17" t="s">
        <v>102</v>
      </c>
      <c r="F73" s="17" t="s">
        <v>103</v>
      </c>
      <c r="G73" s="17" t="s">
        <v>104</v>
      </c>
    </row>
    <row r="74" spans="4:7">
      <c r="E74" s="5">
        <v>810</v>
      </c>
      <c r="F74" s="5">
        <f t="shared" ref="F74" si="48">L74+N74+P74+R74+T74+V74+X74+Z74+AB74+AE74+AG74</f>
        <v>0</v>
      </c>
      <c r="G74" s="8">
        <f t="shared" ref="G74" si="49">E74/9</f>
        <v>90</v>
      </c>
    </row>
    <row r="77" spans="4:7">
      <c r="D77" s="7" t="str">
        <f t="shared" ref="D77" si="50">IFERROR(CONCATENATE(B77," ",C77),"")</f>
        <v xml:space="preserve"> </v>
      </c>
      <c r="E77" s="17" t="s">
        <v>102</v>
      </c>
      <c r="F77" s="17" t="s">
        <v>103</v>
      </c>
      <c r="G77" s="17" t="s">
        <v>104</v>
      </c>
    </row>
    <row r="78" spans="4:7">
      <c r="E78" s="5">
        <v>810</v>
      </c>
      <c r="F78" s="5">
        <f t="shared" ref="F78" si="51">L78+N78+P78+R78+T78+V78+X78+Z78+AB78+AE78+AG78</f>
        <v>0</v>
      </c>
      <c r="G78" s="8">
        <f t="shared" ref="G78" si="52">E78/9</f>
        <v>90</v>
      </c>
    </row>
    <row r="81" spans="4:7">
      <c r="D81" s="7" t="str">
        <f t="shared" ref="D81" si="53">IFERROR(CONCATENATE(B81," ",C81),"")</f>
        <v xml:space="preserve"> </v>
      </c>
      <c r="E81" s="17" t="s">
        <v>102</v>
      </c>
      <c r="F81" s="17" t="s">
        <v>103</v>
      </c>
      <c r="G81" s="17" t="s">
        <v>104</v>
      </c>
    </row>
    <row r="82" spans="4:7">
      <c r="E82" s="5">
        <v>810</v>
      </c>
      <c r="F82" s="5">
        <f t="shared" ref="F82" si="54">L82+N82+P82+R82+T82+V82+X82+Z82+AB82+AE82+AG82</f>
        <v>0</v>
      </c>
      <c r="G82" s="8">
        <f t="shared" ref="G82" si="55">E82/9</f>
        <v>90</v>
      </c>
    </row>
    <row r="85" spans="4:7">
      <c r="D85" s="7" t="str">
        <f t="shared" ref="D85" si="56">IFERROR(CONCATENATE(B85," ",C85),"")</f>
        <v xml:space="preserve"> </v>
      </c>
      <c r="E85" s="17" t="s">
        <v>102</v>
      </c>
      <c r="F85" s="17" t="s">
        <v>103</v>
      </c>
      <c r="G85" s="17" t="s">
        <v>104</v>
      </c>
    </row>
    <row r="86" spans="4:7">
      <c r="E86" s="5">
        <v>810</v>
      </c>
      <c r="F86" s="5">
        <f t="shared" ref="F86" si="57">L86+N86+P86+R86+T86+V86+X86+Z86+AB86+AE86+AG86</f>
        <v>0</v>
      </c>
      <c r="G86" s="8">
        <f t="shared" ref="G86" si="58">E86/9</f>
        <v>90</v>
      </c>
    </row>
    <row r="89" spans="4:7">
      <c r="D89" s="7" t="str">
        <f t="shared" ref="D89" si="59">IFERROR(CONCATENATE(B89," ",C89),"")</f>
        <v xml:space="preserve"> </v>
      </c>
      <c r="E89" s="17" t="s">
        <v>102</v>
      </c>
      <c r="F89" s="17" t="s">
        <v>103</v>
      </c>
      <c r="G89" s="17" t="s">
        <v>104</v>
      </c>
    </row>
    <row r="90" spans="4:7">
      <c r="E90" s="5">
        <v>810</v>
      </c>
      <c r="F90" s="5">
        <f t="shared" ref="F90" si="60">L90+N90+P90+R90+T90+V90+X90+Z90+AB90+AE90+AG90</f>
        <v>0</v>
      </c>
      <c r="G90" s="8">
        <f t="shared" ref="G90" si="61">E90/9</f>
        <v>90</v>
      </c>
    </row>
    <row r="93" spans="4:7">
      <c r="D93" s="7" t="str">
        <f t="shared" ref="D93" si="62">IFERROR(CONCATENATE(B93," ",C93),"")</f>
        <v xml:space="preserve"> </v>
      </c>
      <c r="E93" s="17" t="s">
        <v>102</v>
      </c>
      <c r="F93" s="17" t="s">
        <v>103</v>
      </c>
      <c r="G93" s="17" t="s">
        <v>104</v>
      </c>
    </row>
    <row r="94" spans="4:7">
      <c r="E94" s="5">
        <v>810</v>
      </c>
      <c r="F94" s="5">
        <f t="shared" ref="F94" si="63">L94+N94+P94+R94+T94+V94+X94+Z94+AB94+AE94+AG94</f>
        <v>0</v>
      </c>
      <c r="G94" s="8">
        <f t="shared" ref="G94" si="64">E94/9</f>
        <v>90</v>
      </c>
    </row>
    <row r="97" spans="4:7">
      <c r="D97" s="7" t="str">
        <f t="shared" ref="D97" si="65">IFERROR(CONCATENATE(B97," ",C97),"")</f>
        <v xml:space="preserve"> </v>
      </c>
      <c r="E97" s="17" t="s">
        <v>102</v>
      </c>
      <c r="F97" s="17" t="s">
        <v>103</v>
      </c>
      <c r="G97" s="17" t="s">
        <v>104</v>
      </c>
    </row>
    <row r="98" spans="4:7">
      <c r="E98" s="5">
        <v>810</v>
      </c>
      <c r="F98" s="5">
        <f t="shared" ref="F98" si="66">L98+N98+P98+R98+T98+V98+X98+Z98+AB98+AE98+AG98</f>
        <v>0</v>
      </c>
      <c r="G98" s="8">
        <f t="shared" ref="G98" si="67">E98/9</f>
        <v>90</v>
      </c>
    </row>
    <row r="101" spans="4:7">
      <c r="D101" s="7" t="str">
        <f t="shared" ref="D101" si="68">IFERROR(CONCATENATE(B101," ",C101),"")</f>
        <v xml:space="preserve"> </v>
      </c>
      <c r="E101" s="17" t="s">
        <v>102</v>
      </c>
      <c r="F101" s="17" t="s">
        <v>103</v>
      </c>
      <c r="G101" s="17" t="s">
        <v>104</v>
      </c>
    </row>
    <row r="102" spans="4:7">
      <c r="E102" s="5">
        <v>810</v>
      </c>
      <c r="F102" s="5">
        <f t="shared" ref="F102" si="69">L102+N102+P102+R102+T102+V102+X102+Z102+AB102+AE102+AG102</f>
        <v>0</v>
      </c>
      <c r="G102" s="8">
        <f t="shared" ref="G102" si="70">E102/9</f>
        <v>90</v>
      </c>
    </row>
    <row r="105" spans="4:7">
      <c r="D105" s="7" t="str">
        <f t="shared" ref="D105" si="71">IFERROR(CONCATENATE(B105," ",C105),"")</f>
        <v xml:space="preserve"> </v>
      </c>
      <c r="E105" s="17" t="s">
        <v>102</v>
      </c>
      <c r="F105" s="17" t="s">
        <v>103</v>
      </c>
      <c r="G105" s="17" t="s">
        <v>104</v>
      </c>
    </row>
    <row r="106" spans="4:7">
      <c r="E106" s="5">
        <v>810</v>
      </c>
      <c r="F106" s="5">
        <f t="shared" ref="F106" si="72">L106+N106+P106+R106+T106+V106+X106+Z106+AB106+AE106+AG106</f>
        <v>0</v>
      </c>
      <c r="G106" s="8">
        <f t="shared" ref="G106" si="73">E106/9</f>
        <v>90</v>
      </c>
    </row>
    <row r="109" spans="4:7">
      <c r="D109" s="7" t="str">
        <f t="shared" ref="D109" si="74">IFERROR(CONCATENATE(B109," ",C109),"")</f>
        <v xml:space="preserve"> </v>
      </c>
      <c r="E109" s="17" t="s">
        <v>102</v>
      </c>
      <c r="F109" s="17" t="s">
        <v>103</v>
      </c>
      <c r="G109" s="17" t="s">
        <v>104</v>
      </c>
    </row>
    <row r="110" spans="4:7">
      <c r="E110" s="5">
        <v>810</v>
      </c>
      <c r="F110" s="5">
        <f t="shared" ref="F110" si="75">L110+N110+P110+R110+T110+V110+X110+Z110+AB110+AE110+AG110</f>
        <v>0</v>
      </c>
      <c r="G110" s="8">
        <f t="shared" ref="G110" si="76">E110/9</f>
        <v>90</v>
      </c>
    </row>
    <row r="113" spans="4:7">
      <c r="D113" s="7" t="str">
        <f t="shared" ref="D113" si="77">IFERROR(CONCATENATE(B113," ",C113),"")</f>
        <v xml:space="preserve"> </v>
      </c>
      <c r="E113" s="17" t="s">
        <v>102</v>
      </c>
      <c r="F113" s="17" t="s">
        <v>103</v>
      </c>
      <c r="G113" s="17" t="s">
        <v>104</v>
      </c>
    </row>
    <row r="114" spans="4:7">
      <c r="E114" s="5">
        <v>810</v>
      </c>
      <c r="F114" s="5">
        <f t="shared" ref="F114" si="78">L114+N114+P114+R114+T114+V114+X114+Z114+AB114+AE114+AG114</f>
        <v>0</v>
      </c>
      <c r="G114" s="8">
        <f t="shared" ref="G114" si="79">E114/9</f>
        <v>90</v>
      </c>
    </row>
    <row r="117" spans="4:7">
      <c r="D117" s="7" t="str">
        <f t="shared" ref="D117" si="80">IFERROR(CONCATENATE(B117," ",C117),"")</f>
        <v xml:space="preserve"> </v>
      </c>
      <c r="E117" s="17" t="s">
        <v>102</v>
      </c>
      <c r="F117" s="17" t="s">
        <v>103</v>
      </c>
      <c r="G117" s="17" t="s">
        <v>104</v>
      </c>
    </row>
    <row r="118" spans="4:7">
      <c r="E118" s="5">
        <v>810</v>
      </c>
      <c r="F118" s="5">
        <f t="shared" ref="F118" si="81">L118+N118+P118+R118+T118+V118+X118+Z118+AB118+AE118+AG118</f>
        <v>0</v>
      </c>
      <c r="G118" s="8">
        <f t="shared" ref="G118" si="82">E118/9</f>
        <v>90</v>
      </c>
    </row>
    <row r="121" spans="4:7">
      <c r="D121" s="7" t="str">
        <f t="shared" ref="D121" si="83">IFERROR(CONCATENATE(B121," ",C121),"")</f>
        <v xml:space="preserve"> </v>
      </c>
      <c r="E121" s="17" t="s">
        <v>102</v>
      </c>
      <c r="F121" s="17" t="s">
        <v>103</v>
      </c>
      <c r="G121" s="17" t="s">
        <v>104</v>
      </c>
    </row>
    <row r="122" spans="4:7">
      <c r="E122" s="5">
        <v>810</v>
      </c>
      <c r="F122" s="5">
        <f t="shared" ref="F122" si="84">L122+N122+P122+R122+T122+V122+X122+Z122+AB122+AE122+AG122</f>
        <v>0</v>
      </c>
      <c r="G122" s="8">
        <f t="shared" ref="G122" si="85">E122/9</f>
        <v>90</v>
      </c>
    </row>
    <row r="125" spans="4:7">
      <c r="D125" s="7" t="str">
        <f t="shared" ref="D125" si="86">IFERROR(CONCATENATE(B125," ",C125),"")</f>
        <v xml:space="preserve"> </v>
      </c>
      <c r="E125" s="17" t="s">
        <v>102</v>
      </c>
      <c r="F125" s="17" t="s">
        <v>103</v>
      </c>
      <c r="G125" s="17" t="s">
        <v>104</v>
      </c>
    </row>
    <row r="126" spans="4:7">
      <c r="E126" s="5">
        <v>810</v>
      </c>
      <c r="F126" s="5">
        <f t="shared" ref="F126" si="87">L126+N126+P126+R126+T126+V126+X126+Z126+AB126+AE126+AG126</f>
        <v>0</v>
      </c>
      <c r="G126" s="8">
        <f t="shared" ref="G126" si="88">E126/9</f>
        <v>90</v>
      </c>
    </row>
    <row r="129" spans="4:7">
      <c r="D129" s="7" t="str">
        <f t="shared" ref="D129" si="89">IFERROR(CONCATENATE(B129," ",C129),"")</f>
        <v xml:space="preserve"> </v>
      </c>
      <c r="E129" s="17" t="s">
        <v>102</v>
      </c>
      <c r="F129" s="17" t="s">
        <v>103</v>
      </c>
      <c r="G129" s="17" t="s">
        <v>104</v>
      </c>
    </row>
    <row r="130" spans="4:7">
      <c r="E130" s="5">
        <v>810</v>
      </c>
      <c r="F130" s="5">
        <f t="shared" ref="F130" si="90">L130+N130+P130+R130+T130+V130+X130+Z130+AB130+AE130+AG130</f>
        <v>0</v>
      </c>
      <c r="G130" s="8">
        <f t="shared" ref="G130" si="91">E130/9</f>
        <v>90</v>
      </c>
    </row>
    <row r="133" spans="4:7">
      <c r="D133" s="7" t="str">
        <f t="shared" ref="D133" si="92">IFERROR(CONCATENATE(B133," ",C133),"")</f>
        <v xml:space="preserve"> </v>
      </c>
      <c r="E133" s="17" t="s">
        <v>102</v>
      </c>
      <c r="F133" s="17" t="s">
        <v>103</v>
      </c>
      <c r="G133" s="17" t="s">
        <v>104</v>
      </c>
    </row>
    <row r="134" spans="4:7">
      <c r="E134" s="5">
        <v>810</v>
      </c>
      <c r="F134" s="5">
        <f t="shared" ref="F134" si="93">L134+N134+P134+R134+T134+V134+X134+Z134+AB134+AE134+AG134</f>
        <v>0</v>
      </c>
      <c r="G134" s="8">
        <f t="shared" ref="G134" si="94">E134/9</f>
        <v>90</v>
      </c>
    </row>
  </sheetData>
  <mergeCells count="2">
    <mergeCell ref="K1:U1"/>
    <mergeCell ref="K2:U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46"/>
  <sheetViews>
    <sheetView topLeftCell="A38" workbookViewId="0">
      <selection activeCell="D48" sqref="D48"/>
    </sheetView>
  </sheetViews>
  <sheetFormatPr defaultColWidth="8.69921875" defaultRowHeight="28.95" customHeight="1"/>
  <cols>
    <col min="1" max="3" width="8.69921875" style="3"/>
    <col min="4" max="4" width="15.19921875" style="3" bestFit="1" customWidth="1"/>
    <col min="5" max="5" width="9.69921875" style="3" bestFit="1" customWidth="1"/>
    <col min="6" max="10" width="8.69921875" style="3"/>
    <col min="11" max="11" width="9.09765625" style="3" customWidth="1"/>
    <col min="12" max="31" width="8.69921875" style="3"/>
    <col min="32" max="32" width="0.796875" style="3" customWidth="1"/>
    <col min="33" max="16384" width="8.69921875" style="3"/>
  </cols>
  <sheetData>
    <row r="1" spans="1:36" ht="28.95" customHeight="1">
      <c r="A1" s="28" t="s">
        <v>0</v>
      </c>
      <c r="B1" s="28" t="s">
        <v>1</v>
      </c>
      <c r="C1" s="28" t="s">
        <v>0</v>
      </c>
      <c r="D1" s="1"/>
      <c r="E1" s="28" t="s">
        <v>2</v>
      </c>
      <c r="F1" s="28" t="s">
        <v>3</v>
      </c>
      <c r="G1" s="28" t="s">
        <v>4</v>
      </c>
      <c r="H1" s="28" t="s">
        <v>5</v>
      </c>
      <c r="I1" s="32" t="s">
        <v>6</v>
      </c>
      <c r="J1" s="28" t="s">
        <v>7</v>
      </c>
      <c r="K1" s="28" t="s">
        <v>8</v>
      </c>
      <c r="L1" s="28" t="s">
        <v>9</v>
      </c>
      <c r="M1" s="29" t="s">
        <v>10</v>
      </c>
      <c r="N1" s="30" t="s">
        <v>11</v>
      </c>
      <c r="O1" s="30"/>
      <c r="P1" s="30" t="s">
        <v>12</v>
      </c>
      <c r="Q1" s="30"/>
      <c r="R1" s="30" t="s">
        <v>13</v>
      </c>
      <c r="S1" s="30"/>
      <c r="T1" s="30" t="s">
        <v>14</v>
      </c>
      <c r="U1" s="30"/>
      <c r="V1" s="30" t="s">
        <v>15</v>
      </c>
      <c r="W1" s="30"/>
      <c r="X1" s="30" t="s">
        <v>16</v>
      </c>
      <c r="Y1" s="30"/>
      <c r="Z1" s="30" t="s">
        <v>17</v>
      </c>
      <c r="AA1" s="30"/>
      <c r="AB1" s="30" t="s">
        <v>18</v>
      </c>
      <c r="AC1" s="30"/>
      <c r="AD1" s="30" t="s">
        <v>19</v>
      </c>
      <c r="AE1" s="30"/>
      <c r="AF1" s="2"/>
      <c r="AG1" s="30" t="s">
        <v>20</v>
      </c>
      <c r="AH1" s="30"/>
      <c r="AI1" s="30" t="s">
        <v>21</v>
      </c>
      <c r="AJ1" s="30"/>
    </row>
    <row r="2" spans="1:36" ht="15" customHeight="1">
      <c r="A2" s="28"/>
      <c r="B2" s="28"/>
      <c r="C2" s="28"/>
      <c r="D2" s="4" t="str">
        <f>CONCATENATE(B1,C1)</f>
        <v>MODULE#SECTION</v>
      </c>
      <c r="E2" s="28"/>
      <c r="F2" s="28"/>
      <c r="G2" s="28"/>
      <c r="H2" s="28"/>
      <c r="I2" s="33"/>
      <c r="J2" s="28"/>
      <c r="K2" s="28"/>
      <c r="L2" s="28"/>
      <c r="M2" s="29"/>
      <c r="N2" s="31" t="s">
        <v>22</v>
      </c>
      <c r="O2" s="31"/>
      <c r="P2" s="31" t="s">
        <v>23</v>
      </c>
      <c r="Q2" s="31"/>
      <c r="R2" s="31" t="s">
        <v>24</v>
      </c>
      <c r="S2" s="31"/>
      <c r="T2" s="31" t="s">
        <v>25</v>
      </c>
      <c r="U2" s="31"/>
      <c r="V2" s="31" t="s">
        <v>26</v>
      </c>
      <c r="W2" s="31"/>
      <c r="X2" s="31" t="s">
        <v>27</v>
      </c>
      <c r="Y2" s="31"/>
      <c r="Z2" s="31" t="s">
        <v>28</v>
      </c>
      <c r="AA2" s="31"/>
      <c r="AB2" s="31" t="s">
        <v>29</v>
      </c>
      <c r="AC2" s="31"/>
      <c r="AD2" s="31" t="s">
        <v>30</v>
      </c>
      <c r="AE2" s="31"/>
      <c r="AF2" s="2"/>
      <c r="AG2" s="31" t="s">
        <v>31</v>
      </c>
      <c r="AH2" s="31"/>
      <c r="AI2" s="31" t="s">
        <v>32</v>
      </c>
      <c r="AJ2" s="31"/>
    </row>
    <row r="3" spans="1:36" ht="13.8">
      <c r="A3" s="28"/>
      <c r="B3" s="28"/>
      <c r="C3" s="28"/>
      <c r="D3" s="4"/>
      <c r="E3" s="28"/>
      <c r="F3" s="28"/>
      <c r="G3" s="28"/>
      <c r="H3" s="28"/>
      <c r="I3" s="34"/>
      <c r="J3" s="28"/>
      <c r="K3" s="28"/>
      <c r="L3" s="28"/>
      <c r="M3" s="29"/>
      <c r="N3" s="6" t="s">
        <v>33</v>
      </c>
      <c r="O3" s="5" t="s">
        <v>34</v>
      </c>
      <c r="P3" s="6" t="s">
        <v>33</v>
      </c>
      <c r="Q3" s="5" t="s">
        <v>34</v>
      </c>
      <c r="R3" s="6" t="s">
        <v>33</v>
      </c>
      <c r="S3" s="5" t="s">
        <v>34</v>
      </c>
      <c r="T3" s="6" t="s">
        <v>33</v>
      </c>
      <c r="U3" s="5" t="s">
        <v>34</v>
      </c>
      <c r="V3" s="6" t="s">
        <v>33</v>
      </c>
      <c r="W3" s="5" t="s">
        <v>34</v>
      </c>
      <c r="X3" s="6" t="s">
        <v>33</v>
      </c>
      <c r="Y3" s="5" t="s">
        <v>34</v>
      </c>
      <c r="Z3" s="6" t="s">
        <v>33</v>
      </c>
      <c r="AA3" s="5" t="s">
        <v>34</v>
      </c>
      <c r="AB3" s="6" t="s">
        <v>33</v>
      </c>
      <c r="AC3" s="5" t="s">
        <v>34</v>
      </c>
      <c r="AD3" s="6" t="s">
        <v>33</v>
      </c>
      <c r="AE3" s="5" t="s">
        <v>34</v>
      </c>
      <c r="AF3" s="2"/>
      <c r="AG3" s="6" t="s">
        <v>33</v>
      </c>
      <c r="AH3" s="5" t="s">
        <v>34</v>
      </c>
      <c r="AI3" s="6" t="s">
        <v>33</v>
      </c>
      <c r="AJ3" s="5" t="s">
        <v>34</v>
      </c>
    </row>
    <row r="4" spans="1:36" ht="28.95" customHeight="1">
      <c r="A4" s="7" t="s">
        <v>35</v>
      </c>
      <c r="B4" s="5" t="s">
        <v>36</v>
      </c>
      <c r="C4" s="7" t="s">
        <v>37</v>
      </c>
      <c r="D4" s="7" t="str">
        <f>IFERROR(CONCATENATE(B4," ",C4),"")</f>
        <v>H101-A CPP</v>
      </c>
      <c r="E4" s="7"/>
      <c r="F4" s="7"/>
      <c r="G4" s="7"/>
      <c r="H4" s="5">
        <v>605</v>
      </c>
      <c r="I4" s="5">
        <f>O4+Q4+S4+U4+W4+Y4+AA4+AC4+AE4+AH4+AJ4</f>
        <v>171</v>
      </c>
      <c r="J4" s="8">
        <f>H4/9</f>
        <v>67.222222222222229</v>
      </c>
      <c r="K4" s="8">
        <f>IFERROR(SUM(M4/J4),"")</f>
        <v>-1.0561983471074379</v>
      </c>
      <c r="L4" s="7">
        <v>50</v>
      </c>
      <c r="M4" s="7">
        <f>IFERROR(SUM(N4+P4+R4+T4+V4+X4+Z4+AB4+AD4+AG4+AI4+L4-SUM(O4+Q4+S4+U4+W4+Y4+AA4+AC4+AE4+AH4+AJ4)),"")</f>
        <v>-71</v>
      </c>
      <c r="N4" s="9">
        <v>50</v>
      </c>
      <c r="O4" s="5">
        <v>100</v>
      </c>
      <c r="P4" s="9"/>
      <c r="Q4" s="5">
        <v>46</v>
      </c>
      <c r="R4" s="9"/>
      <c r="S4" s="5">
        <v>10</v>
      </c>
      <c r="T4" s="9"/>
      <c r="U4" s="5">
        <v>15</v>
      </c>
      <c r="V4" s="9"/>
      <c r="W4" s="5"/>
      <c r="X4" s="9"/>
      <c r="Y4" s="5"/>
      <c r="Z4" s="9"/>
      <c r="AA4" s="5"/>
      <c r="AB4" s="9"/>
      <c r="AC4" s="5"/>
      <c r="AD4" s="9"/>
      <c r="AE4" s="5"/>
      <c r="AF4" s="2"/>
      <c r="AG4" s="9"/>
      <c r="AH4" s="5"/>
      <c r="AI4" s="9"/>
      <c r="AJ4" s="5"/>
    </row>
    <row r="5" spans="1:36" ht="26.4">
      <c r="A5" s="7" t="s">
        <v>35</v>
      </c>
      <c r="B5" s="5" t="s">
        <v>38</v>
      </c>
      <c r="C5" s="7" t="s">
        <v>37</v>
      </c>
      <c r="D5" s="7" t="str">
        <f t="shared" ref="D5:D46" si="0">IFERROR(CONCATENATE(B5," ",C5),"")</f>
        <v>H104-A CPP</v>
      </c>
      <c r="E5" s="7"/>
      <c r="F5" s="7"/>
      <c r="G5" s="7"/>
      <c r="H5" s="5">
        <v>440</v>
      </c>
      <c r="I5" s="5">
        <f t="shared" ref="I5:I46" si="1">O5+Q5+S5+U5+W5+Y5+AA5+AC5+AE5+AH5+AJ5</f>
        <v>90</v>
      </c>
      <c r="J5" s="8">
        <f t="shared" ref="J5:J46" si="2">H5/9</f>
        <v>48.888888888888886</v>
      </c>
      <c r="K5" s="8">
        <f>IFERROR(SUM(M5/J5),"")</f>
        <v>-0.30681818181818182</v>
      </c>
      <c r="L5" s="7">
        <v>25</v>
      </c>
      <c r="M5" s="7">
        <f t="shared" ref="M5:M46" si="3">IFERROR(SUM(N5+P5+R5+T5+V5+X5+Z5+AB5+AD5+AG5+AI5+L5-SUM(O5+Q5+S5+U5+W5+Y5+AA5+AC5+AE5+AH5+AJ5)),"")</f>
        <v>-15</v>
      </c>
      <c r="N5" s="9">
        <v>50</v>
      </c>
      <c r="O5" s="5">
        <v>70</v>
      </c>
      <c r="P5" s="9"/>
      <c r="Q5" s="5">
        <v>20</v>
      </c>
      <c r="R5" s="9"/>
      <c r="S5" s="5"/>
      <c r="T5" s="9"/>
      <c r="U5" s="5"/>
      <c r="V5" s="9"/>
      <c r="W5" s="5"/>
      <c r="X5" s="9"/>
      <c r="Y5" s="5"/>
      <c r="Z5" s="9"/>
      <c r="AA5" s="5"/>
      <c r="AB5" s="9"/>
      <c r="AC5" s="5"/>
      <c r="AD5" s="9"/>
      <c r="AE5" s="5"/>
      <c r="AF5" s="2"/>
      <c r="AG5" s="9"/>
      <c r="AH5" s="5"/>
      <c r="AI5" s="9"/>
      <c r="AJ5" s="5"/>
    </row>
    <row r="6" spans="1:36" ht="26.4">
      <c r="A6" s="7" t="s">
        <v>35</v>
      </c>
      <c r="B6" s="5" t="s">
        <v>39</v>
      </c>
      <c r="C6" s="7" t="s">
        <v>37</v>
      </c>
      <c r="D6" s="7" t="str">
        <f t="shared" si="0"/>
        <v>H105-A CPP</v>
      </c>
      <c r="E6" s="7"/>
      <c r="F6" s="7"/>
      <c r="G6" s="7"/>
      <c r="H6" s="5">
        <v>550</v>
      </c>
      <c r="I6" s="5">
        <f t="shared" si="1"/>
        <v>148</v>
      </c>
      <c r="J6" s="8">
        <f>H6/9</f>
        <v>61.111111111111114</v>
      </c>
      <c r="K6" s="8">
        <f t="shared" ref="K6:K16" si="4">IFERROR(SUM(M6/J6),"")</f>
        <v>3.2727272727272723E-2</v>
      </c>
      <c r="L6" s="7">
        <v>100</v>
      </c>
      <c r="M6" s="7">
        <f t="shared" si="3"/>
        <v>2</v>
      </c>
      <c r="N6" s="9">
        <v>50</v>
      </c>
      <c r="O6" s="5">
        <v>50</v>
      </c>
      <c r="P6" s="9"/>
      <c r="Q6" s="5">
        <v>98</v>
      </c>
      <c r="R6" s="9"/>
      <c r="S6" s="5"/>
      <c r="T6" s="9"/>
      <c r="U6" s="5"/>
      <c r="V6" s="9"/>
      <c r="W6" s="5"/>
      <c r="X6" s="9"/>
      <c r="Y6" s="5"/>
      <c r="Z6" s="9"/>
      <c r="AA6" s="5"/>
      <c r="AB6" s="9"/>
      <c r="AC6" s="5"/>
      <c r="AD6" s="9"/>
      <c r="AE6" s="5"/>
      <c r="AF6" s="2"/>
      <c r="AG6" s="9"/>
      <c r="AH6" s="5"/>
      <c r="AI6" s="9"/>
      <c r="AJ6" s="5"/>
    </row>
    <row r="7" spans="1:36" ht="26.4">
      <c r="A7" s="7" t="s">
        <v>35</v>
      </c>
      <c r="B7" s="5" t="s">
        <v>40</v>
      </c>
      <c r="C7" s="7" t="s">
        <v>37</v>
      </c>
      <c r="D7" s="7" t="str">
        <f t="shared" si="0"/>
        <v>H114-A CPP</v>
      </c>
      <c r="E7" s="7"/>
      <c r="F7" s="7"/>
      <c r="G7" s="7"/>
      <c r="H7" s="5">
        <v>495</v>
      </c>
      <c r="I7" s="5">
        <f t="shared" si="1"/>
        <v>277</v>
      </c>
      <c r="J7" s="8">
        <f t="shared" si="2"/>
        <v>55</v>
      </c>
      <c r="K7" s="8">
        <f t="shared" si="4"/>
        <v>-3.5454545454545454</v>
      </c>
      <c r="L7" s="7">
        <v>50</v>
      </c>
      <c r="M7" s="7">
        <f t="shared" si="3"/>
        <v>-195</v>
      </c>
      <c r="N7" s="9">
        <v>32</v>
      </c>
      <c r="O7" s="5">
        <v>65</v>
      </c>
      <c r="P7" s="9"/>
      <c r="Q7" s="5">
        <v>40</v>
      </c>
      <c r="R7" s="9"/>
      <c r="S7" s="5">
        <v>40</v>
      </c>
      <c r="T7" s="9"/>
      <c r="U7" s="5">
        <v>39</v>
      </c>
      <c r="V7" s="9"/>
      <c r="W7" s="5">
        <v>93</v>
      </c>
      <c r="X7" s="9"/>
      <c r="Y7" s="5"/>
      <c r="Z7" s="9"/>
      <c r="AA7" s="5"/>
      <c r="AB7" s="9"/>
      <c r="AC7" s="5"/>
      <c r="AD7" s="9"/>
      <c r="AE7" s="5"/>
      <c r="AF7" s="2"/>
      <c r="AG7" s="9"/>
      <c r="AH7" s="5"/>
      <c r="AI7" s="9"/>
      <c r="AJ7" s="5"/>
    </row>
    <row r="8" spans="1:36" ht="26.4">
      <c r="A8" s="7" t="s">
        <v>41</v>
      </c>
      <c r="B8" s="5" t="s">
        <v>42</v>
      </c>
      <c r="C8" s="7" t="s">
        <v>37</v>
      </c>
      <c r="D8" s="7" t="str">
        <f t="shared" si="0"/>
        <v>H212-A CPP</v>
      </c>
      <c r="E8" s="7"/>
      <c r="F8" s="7"/>
      <c r="G8" s="7"/>
      <c r="H8" s="5">
        <v>416</v>
      </c>
      <c r="I8" s="5">
        <f t="shared" si="1"/>
        <v>0</v>
      </c>
      <c r="J8" s="8">
        <f t="shared" si="2"/>
        <v>46.222222222222221</v>
      </c>
      <c r="K8" s="8" t="str">
        <f t="shared" si="4"/>
        <v/>
      </c>
      <c r="L8" s="10">
        <v>100</v>
      </c>
      <c r="M8" s="7" t="str">
        <f t="shared" si="3"/>
        <v/>
      </c>
      <c r="N8" s="9" t="s">
        <v>43</v>
      </c>
      <c r="O8" s="5">
        <v>0</v>
      </c>
      <c r="P8" s="9"/>
      <c r="Q8" s="5">
        <v>0</v>
      </c>
      <c r="R8" s="9"/>
      <c r="S8" s="5"/>
      <c r="T8" s="9"/>
      <c r="U8" s="5"/>
      <c r="V8" s="9"/>
      <c r="W8" s="5"/>
      <c r="X8" s="9"/>
      <c r="Y8" s="5"/>
      <c r="Z8" s="9"/>
      <c r="AA8" s="5"/>
      <c r="AB8" s="9"/>
      <c r="AC8" s="5"/>
      <c r="AD8" s="9"/>
      <c r="AE8" s="5"/>
      <c r="AF8" s="2"/>
      <c r="AG8" s="9"/>
      <c r="AH8" s="5"/>
      <c r="AI8" s="9"/>
      <c r="AJ8" s="5"/>
    </row>
    <row r="9" spans="1:36" ht="26.4">
      <c r="A9" s="7" t="s">
        <v>41</v>
      </c>
      <c r="B9" s="5" t="s">
        <v>44</v>
      </c>
      <c r="C9" s="7" t="s">
        <v>37</v>
      </c>
      <c r="D9" s="7" t="str">
        <f t="shared" si="0"/>
        <v>H210-A CPP</v>
      </c>
      <c r="E9" s="7"/>
      <c r="F9" s="7"/>
      <c r="G9" s="7"/>
      <c r="H9" s="5">
        <v>448</v>
      </c>
      <c r="I9" s="5">
        <f t="shared" si="1"/>
        <v>160</v>
      </c>
      <c r="J9" s="8">
        <f t="shared" si="2"/>
        <v>49.777777777777779</v>
      </c>
      <c r="K9" s="8">
        <f t="shared" si="4"/>
        <v>-1.2053571428571428</v>
      </c>
      <c r="L9" s="7">
        <v>50</v>
      </c>
      <c r="M9" s="7">
        <f t="shared" si="3"/>
        <v>-60</v>
      </c>
      <c r="N9" s="9">
        <v>50</v>
      </c>
      <c r="O9" s="5">
        <v>50</v>
      </c>
      <c r="P9" s="9"/>
      <c r="Q9" s="5">
        <v>60</v>
      </c>
      <c r="R9" s="9"/>
      <c r="S9" s="5">
        <v>50</v>
      </c>
      <c r="T9" s="9"/>
      <c r="U9" s="5"/>
      <c r="V9" s="9"/>
      <c r="W9" s="5"/>
      <c r="X9" s="9"/>
      <c r="Y9" s="5"/>
      <c r="Z9" s="9"/>
      <c r="AA9" s="5"/>
      <c r="AB9" s="9"/>
      <c r="AC9" s="5"/>
      <c r="AD9" s="9"/>
      <c r="AE9" s="5"/>
      <c r="AF9" s="2"/>
      <c r="AG9" s="9"/>
      <c r="AH9" s="5"/>
      <c r="AI9" s="9"/>
      <c r="AJ9" s="5"/>
    </row>
    <row r="10" spans="1:36" ht="26.4">
      <c r="A10" s="7" t="s">
        <v>41</v>
      </c>
      <c r="B10" s="5" t="s">
        <v>45</v>
      </c>
      <c r="C10" s="7" t="s">
        <v>37</v>
      </c>
      <c r="D10" s="7" t="str">
        <f t="shared" si="0"/>
        <v>H201-A CPP</v>
      </c>
      <c r="E10" s="7"/>
      <c r="F10" s="7"/>
      <c r="G10" s="7"/>
      <c r="H10" s="5">
        <v>244</v>
      </c>
      <c r="I10" s="5">
        <f t="shared" si="1"/>
        <v>79</v>
      </c>
      <c r="J10" s="8">
        <f t="shared" si="2"/>
        <v>27.111111111111111</v>
      </c>
      <c r="K10" s="8">
        <f t="shared" si="4"/>
        <v>4.4631147540983607</v>
      </c>
      <c r="L10" s="7">
        <v>150</v>
      </c>
      <c r="M10" s="7">
        <f t="shared" si="3"/>
        <v>121</v>
      </c>
      <c r="N10" s="9">
        <v>50</v>
      </c>
      <c r="O10" s="5">
        <v>60</v>
      </c>
      <c r="P10" s="9"/>
      <c r="Q10" s="5">
        <v>0</v>
      </c>
      <c r="R10" s="9"/>
      <c r="S10" s="5"/>
      <c r="T10" s="9"/>
      <c r="U10" s="5">
        <v>19</v>
      </c>
      <c r="V10" s="9"/>
      <c r="W10" s="5"/>
      <c r="X10" s="9"/>
      <c r="Y10" s="5"/>
      <c r="Z10" s="9"/>
      <c r="AA10" s="5"/>
      <c r="AB10" s="9"/>
      <c r="AC10" s="5"/>
      <c r="AD10" s="9"/>
      <c r="AE10" s="5"/>
      <c r="AF10" s="2"/>
      <c r="AG10" s="9"/>
      <c r="AH10" s="5"/>
      <c r="AI10" s="9"/>
      <c r="AJ10" s="5"/>
    </row>
    <row r="11" spans="1:36" ht="26.4">
      <c r="A11" s="7" t="s">
        <v>35</v>
      </c>
      <c r="B11" s="5" t="s">
        <v>46</v>
      </c>
      <c r="C11" s="7" t="s">
        <v>37</v>
      </c>
      <c r="D11" s="7" t="str">
        <f t="shared" si="0"/>
        <v>H108-A CPP</v>
      </c>
      <c r="E11" s="7"/>
      <c r="F11" s="7"/>
      <c r="G11" s="7"/>
      <c r="H11" s="5">
        <v>121</v>
      </c>
      <c r="I11" s="5">
        <f t="shared" si="1"/>
        <v>0</v>
      </c>
      <c r="J11" s="8">
        <f t="shared" si="2"/>
        <v>13.444444444444445</v>
      </c>
      <c r="K11" s="8" t="str">
        <f t="shared" si="4"/>
        <v/>
      </c>
      <c r="L11" s="7">
        <v>50</v>
      </c>
      <c r="M11" s="7" t="str">
        <f t="shared" si="3"/>
        <v/>
      </c>
      <c r="N11" s="9" t="s">
        <v>43</v>
      </c>
      <c r="O11" s="5">
        <v>0</v>
      </c>
      <c r="P11" s="9"/>
      <c r="Q11" s="5">
        <v>0</v>
      </c>
      <c r="R11" s="9"/>
      <c r="S11" s="5"/>
      <c r="T11" s="9"/>
      <c r="U11" s="5"/>
      <c r="V11" s="9"/>
      <c r="W11" s="5"/>
      <c r="X11" s="9"/>
      <c r="Y11" s="5"/>
      <c r="Z11" s="9"/>
      <c r="AA11" s="5"/>
      <c r="AB11" s="9"/>
      <c r="AC11" s="5"/>
      <c r="AD11" s="9"/>
      <c r="AE11" s="5"/>
      <c r="AF11" s="2"/>
      <c r="AG11" s="9"/>
      <c r="AH11" s="5"/>
      <c r="AI11" s="9"/>
      <c r="AJ11" s="5"/>
    </row>
    <row r="12" spans="1:36" ht="26.4">
      <c r="A12" s="7" t="s">
        <v>41</v>
      </c>
      <c r="B12" s="5" t="s">
        <v>47</v>
      </c>
      <c r="C12" s="7" t="s">
        <v>37</v>
      </c>
      <c r="D12" s="7" t="str">
        <f t="shared" si="0"/>
        <v>H209-A CPP</v>
      </c>
      <c r="E12" s="7"/>
      <c r="F12" s="7"/>
      <c r="G12" s="7"/>
      <c r="H12" s="5">
        <v>586</v>
      </c>
      <c r="I12" s="5">
        <f t="shared" si="1"/>
        <v>284</v>
      </c>
      <c r="J12" s="8">
        <f t="shared" si="2"/>
        <v>65.111111111111114</v>
      </c>
      <c r="K12" s="8">
        <f t="shared" si="4"/>
        <v>-3.5938566552901023</v>
      </c>
      <c r="L12" s="7">
        <v>50</v>
      </c>
      <c r="M12" s="7">
        <f t="shared" si="3"/>
        <v>-234</v>
      </c>
      <c r="N12" s="9">
        <v>0</v>
      </c>
      <c r="O12" s="5">
        <v>45</v>
      </c>
      <c r="P12" s="9"/>
      <c r="Q12" s="5">
        <v>74</v>
      </c>
      <c r="R12" s="9"/>
      <c r="S12" s="5">
        <v>50</v>
      </c>
      <c r="T12" s="9"/>
      <c r="U12" s="5">
        <v>75</v>
      </c>
      <c r="V12" s="9"/>
      <c r="W12" s="5">
        <v>40</v>
      </c>
      <c r="X12" s="9"/>
      <c r="Y12" s="5"/>
      <c r="Z12" s="9"/>
      <c r="AA12" s="5"/>
      <c r="AB12" s="9"/>
      <c r="AC12" s="5"/>
      <c r="AD12" s="9"/>
      <c r="AE12" s="5"/>
      <c r="AF12" s="2"/>
      <c r="AG12" s="9"/>
      <c r="AH12" s="5"/>
      <c r="AI12" s="9"/>
      <c r="AJ12" s="5"/>
    </row>
    <row r="13" spans="1:36" ht="26.4">
      <c r="A13" s="7" t="s">
        <v>48</v>
      </c>
      <c r="B13" s="5" t="s">
        <v>49</v>
      </c>
      <c r="C13" s="7" t="s">
        <v>37</v>
      </c>
      <c r="D13" s="7" t="str">
        <f t="shared" si="0"/>
        <v>H413-A CPP</v>
      </c>
      <c r="E13" s="7"/>
      <c r="F13" s="7"/>
      <c r="G13" s="7"/>
      <c r="H13" s="5">
        <v>240</v>
      </c>
      <c r="I13" s="5">
        <f t="shared" si="1"/>
        <v>55</v>
      </c>
      <c r="J13" s="8">
        <f t="shared" si="2"/>
        <v>26.666666666666668</v>
      </c>
      <c r="K13" s="8">
        <f t="shared" si="4"/>
        <v>-0.33749999999999997</v>
      </c>
      <c r="L13" s="7">
        <v>25</v>
      </c>
      <c r="M13" s="7">
        <f t="shared" si="3"/>
        <v>-9</v>
      </c>
      <c r="N13" s="9">
        <v>21</v>
      </c>
      <c r="O13" s="5">
        <v>21</v>
      </c>
      <c r="P13" s="9"/>
      <c r="Q13" s="5">
        <v>34</v>
      </c>
      <c r="R13" s="9"/>
      <c r="S13" s="5"/>
      <c r="T13" s="9"/>
      <c r="U13" s="5"/>
      <c r="V13" s="9"/>
      <c r="W13" s="5"/>
      <c r="X13" s="9"/>
      <c r="Y13" s="5"/>
      <c r="Z13" s="9"/>
      <c r="AA13" s="5"/>
      <c r="AB13" s="9"/>
      <c r="AC13" s="5"/>
      <c r="AD13" s="9"/>
      <c r="AE13" s="5"/>
      <c r="AF13" s="2"/>
      <c r="AG13" s="9"/>
      <c r="AH13" s="5"/>
      <c r="AI13" s="9"/>
      <c r="AJ13" s="5"/>
    </row>
    <row r="14" spans="1:36" ht="26.4">
      <c r="A14" s="7" t="s">
        <v>48</v>
      </c>
      <c r="B14" s="5" t="s">
        <v>50</v>
      </c>
      <c r="C14" s="7" t="s">
        <v>37</v>
      </c>
      <c r="D14" s="7" t="str">
        <f t="shared" si="0"/>
        <v>H407-A CPP</v>
      </c>
      <c r="E14" s="7"/>
      <c r="F14" s="7"/>
      <c r="G14" s="7"/>
      <c r="H14" s="5">
        <v>640</v>
      </c>
      <c r="I14" s="5">
        <f t="shared" si="1"/>
        <v>64</v>
      </c>
      <c r="J14" s="8">
        <f t="shared" si="2"/>
        <v>71.111111111111114</v>
      </c>
      <c r="K14" s="8" t="str">
        <f t="shared" si="4"/>
        <v/>
      </c>
      <c r="L14" s="10">
        <v>200</v>
      </c>
      <c r="M14" s="7" t="str">
        <f t="shared" si="3"/>
        <v/>
      </c>
      <c r="N14" s="9" t="s">
        <v>43</v>
      </c>
      <c r="O14" s="5">
        <v>64</v>
      </c>
      <c r="P14" s="9"/>
      <c r="Q14" s="5">
        <v>0</v>
      </c>
      <c r="R14" s="9"/>
      <c r="S14" s="5"/>
      <c r="T14" s="9"/>
      <c r="U14" s="5"/>
      <c r="V14" s="9"/>
      <c r="W14" s="5"/>
      <c r="X14" s="9"/>
      <c r="Y14" s="5"/>
      <c r="Z14" s="9"/>
      <c r="AA14" s="5"/>
      <c r="AB14" s="9"/>
      <c r="AC14" s="5"/>
      <c r="AD14" s="9"/>
      <c r="AE14" s="5"/>
      <c r="AF14" s="2"/>
      <c r="AG14" s="9"/>
      <c r="AH14" s="5"/>
      <c r="AI14" s="9"/>
      <c r="AJ14" s="5"/>
    </row>
    <row r="15" spans="1:36" ht="26.4">
      <c r="A15" s="7" t="s">
        <v>35</v>
      </c>
      <c r="B15" s="5" t="s">
        <v>51</v>
      </c>
      <c r="C15" s="7" t="s">
        <v>37</v>
      </c>
      <c r="D15" s="7" t="str">
        <f t="shared" si="0"/>
        <v>H113-A CPP</v>
      </c>
      <c r="E15" s="7"/>
      <c r="F15" s="7"/>
      <c r="G15" s="7"/>
      <c r="H15" s="5">
        <v>810</v>
      </c>
      <c r="I15" s="5">
        <f t="shared" si="1"/>
        <v>250</v>
      </c>
      <c r="J15" s="8">
        <f t="shared" si="2"/>
        <v>90</v>
      </c>
      <c r="K15" s="8">
        <f t="shared" si="4"/>
        <v>-0.33333333333333331</v>
      </c>
      <c r="L15" s="7">
        <v>100</v>
      </c>
      <c r="M15" s="7">
        <f t="shared" si="3"/>
        <v>-30</v>
      </c>
      <c r="N15" s="9">
        <v>120</v>
      </c>
      <c r="O15" s="5">
        <v>220</v>
      </c>
      <c r="P15" s="9"/>
      <c r="Q15" s="5">
        <v>30</v>
      </c>
      <c r="R15" s="9"/>
      <c r="S15" s="5"/>
      <c r="T15" s="9"/>
      <c r="U15" s="5"/>
      <c r="V15" s="9"/>
      <c r="W15" s="5"/>
      <c r="X15" s="9"/>
      <c r="Y15" s="5"/>
      <c r="Z15" s="9"/>
      <c r="AA15" s="5"/>
      <c r="AB15" s="9"/>
      <c r="AC15" s="5"/>
      <c r="AD15" s="9"/>
      <c r="AE15" s="5"/>
      <c r="AF15" s="2"/>
      <c r="AG15" s="9"/>
      <c r="AH15" s="5"/>
      <c r="AI15" s="9"/>
      <c r="AJ15" s="5"/>
    </row>
    <row r="16" spans="1:36" ht="26.4">
      <c r="A16" s="7" t="s">
        <v>41</v>
      </c>
      <c r="B16" s="5" t="s">
        <v>52</v>
      </c>
      <c r="C16" s="7" t="s">
        <v>37</v>
      </c>
      <c r="D16" s="7" t="str">
        <f t="shared" si="0"/>
        <v>H217-A CPP</v>
      </c>
      <c r="E16" s="7"/>
      <c r="F16" s="7"/>
      <c r="G16" s="7"/>
      <c r="H16" s="5">
        <v>810</v>
      </c>
      <c r="I16" s="5">
        <f t="shared" si="1"/>
        <v>156</v>
      </c>
      <c r="J16" s="8">
        <f t="shared" si="2"/>
        <v>90</v>
      </c>
      <c r="K16" s="8">
        <f t="shared" si="4"/>
        <v>0.17777777777777778</v>
      </c>
      <c r="L16" s="7">
        <v>100</v>
      </c>
      <c r="M16" s="7">
        <f t="shared" si="3"/>
        <v>16</v>
      </c>
      <c r="N16" s="9">
        <v>72</v>
      </c>
      <c r="O16" s="5">
        <v>56</v>
      </c>
      <c r="P16" s="9"/>
      <c r="Q16" s="5">
        <v>100</v>
      </c>
      <c r="R16" s="9"/>
      <c r="S16" s="5"/>
      <c r="T16" s="9"/>
      <c r="U16" s="5"/>
      <c r="V16" s="9"/>
      <c r="W16" s="5"/>
      <c r="X16" s="9"/>
      <c r="Y16" s="5"/>
      <c r="Z16" s="9"/>
      <c r="AA16" s="5"/>
      <c r="AB16" s="9"/>
      <c r="AC16" s="5"/>
      <c r="AD16" s="9"/>
      <c r="AE16" s="5"/>
      <c r="AF16" s="2"/>
      <c r="AG16" s="9"/>
      <c r="AH16" s="5"/>
      <c r="AI16" s="9"/>
      <c r="AJ16" s="5"/>
    </row>
    <row r="17" spans="1:36" ht="26.4">
      <c r="A17" s="7" t="s">
        <v>41</v>
      </c>
      <c r="B17" s="5" t="s">
        <v>53</v>
      </c>
      <c r="C17" s="7" t="s">
        <v>37</v>
      </c>
      <c r="D17" s="7" t="str">
        <f t="shared" si="0"/>
        <v>H213-A CPP</v>
      </c>
      <c r="E17" s="7"/>
      <c r="F17" s="7"/>
      <c r="G17" s="7"/>
      <c r="H17" s="5">
        <v>810</v>
      </c>
      <c r="I17" s="5">
        <f t="shared" si="1"/>
        <v>100</v>
      </c>
      <c r="J17" s="8">
        <f t="shared" si="2"/>
        <v>90</v>
      </c>
      <c r="K17" s="8">
        <f t="shared" ref="K17:K46" si="5">IFERROR(SUM(M17/J17),"")</f>
        <v>0.85555555555555551</v>
      </c>
      <c r="L17" s="7">
        <v>100</v>
      </c>
      <c r="M17" s="7">
        <f t="shared" si="3"/>
        <v>77</v>
      </c>
      <c r="N17" s="9">
        <v>77</v>
      </c>
      <c r="O17" s="5">
        <v>0</v>
      </c>
      <c r="P17" s="9"/>
      <c r="Q17" s="5">
        <v>100</v>
      </c>
      <c r="R17" s="9"/>
      <c r="S17" s="5"/>
      <c r="T17" s="9"/>
      <c r="U17" s="5"/>
      <c r="V17" s="9"/>
      <c r="W17" s="5"/>
      <c r="X17" s="9"/>
      <c r="Y17" s="5"/>
      <c r="Z17" s="9"/>
      <c r="AA17" s="5"/>
      <c r="AB17" s="9"/>
      <c r="AC17" s="5"/>
      <c r="AD17" s="9"/>
      <c r="AE17" s="5"/>
      <c r="AF17" s="2"/>
      <c r="AG17" s="9"/>
      <c r="AH17" s="5"/>
      <c r="AI17" s="9"/>
      <c r="AJ17" s="5"/>
    </row>
    <row r="18" spans="1:36" ht="26.4">
      <c r="A18" s="7" t="s">
        <v>41</v>
      </c>
      <c r="B18" s="5" t="s">
        <v>54</v>
      </c>
      <c r="C18" s="7" t="s">
        <v>37</v>
      </c>
      <c r="D18" s="7" t="str">
        <f t="shared" si="0"/>
        <v>H205-A CPP</v>
      </c>
      <c r="E18" s="7"/>
      <c r="F18" s="7"/>
      <c r="G18" s="7"/>
      <c r="H18" s="5">
        <v>810</v>
      </c>
      <c r="I18" s="5">
        <f t="shared" si="1"/>
        <v>204</v>
      </c>
      <c r="J18" s="8">
        <f t="shared" si="2"/>
        <v>90</v>
      </c>
      <c r="K18" s="8">
        <f t="shared" si="5"/>
        <v>-0.35555555555555557</v>
      </c>
      <c r="L18" s="11">
        <v>100</v>
      </c>
      <c r="M18" s="7">
        <f t="shared" si="3"/>
        <v>-32</v>
      </c>
      <c r="N18" s="9">
        <v>72</v>
      </c>
      <c r="O18" s="5">
        <v>130</v>
      </c>
      <c r="P18" s="9"/>
      <c r="Q18" s="5">
        <v>74</v>
      </c>
      <c r="R18" s="9"/>
      <c r="S18" s="5"/>
      <c r="T18" s="9"/>
      <c r="U18" s="5"/>
      <c r="V18" s="9"/>
      <c r="W18" s="5"/>
      <c r="X18" s="9"/>
      <c r="Y18" s="5"/>
      <c r="Z18" s="9"/>
      <c r="AA18" s="5"/>
      <c r="AB18" s="9"/>
      <c r="AC18" s="5"/>
      <c r="AD18" s="9"/>
      <c r="AE18" s="5"/>
      <c r="AF18" s="2"/>
      <c r="AG18" s="9"/>
      <c r="AH18" s="5"/>
      <c r="AI18" s="9"/>
      <c r="AJ18" s="5"/>
    </row>
    <row r="19" spans="1:36" ht="26.4">
      <c r="A19" s="7" t="s">
        <v>41</v>
      </c>
      <c r="B19" s="5" t="s">
        <v>55</v>
      </c>
      <c r="C19" s="7" t="s">
        <v>37</v>
      </c>
      <c r="D19" s="7" t="str">
        <f t="shared" si="0"/>
        <v>H216-A CPP</v>
      </c>
      <c r="E19" s="7"/>
      <c r="F19" s="7"/>
      <c r="G19" s="7"/>
      <c r="H19" s="5">
        <v>810</v>
      </c>
      <c r="I19" s="5">
        <f t="shared" si="1"/>
        <v>300</v>
      </c>
      <c r="J19" s="8">
        <f t="shared" si="2"/>
        <v>90</v>
      </c>
      <c r="K19" s="8">
        <f t="shared" si="5"/>
        <v>-2.2222222222222223</v>
      </c>
      <c r="L19" s="11">
        <v>100</v>
      </c>
      <c r="M19" s="7">
        <f t="shared" si="3"/>
        <v>-200</v>
      </c>
      <c r="N19" s="9"/>
      <c r="O19" s="5">
        <v>100</v>
      </c>
      <c r="P19" s="9"/>
      <c r="Q19" s="5">
        <v>0</v>
      </c>
      <c r="R19" s="9"/>
      <c r="S19" s="5">
        <v>200</v>
      </c>
      <c r="T19" s="9"/>
      <c r="U19" s="5"/>
      <c r="V19" s="9"/>
      <c r="W19" s="5"/>
      <c r="X19" s="9"/>
      <c r="Y19" s="5"/>
      <c r="Z19" s="9"/>
      <c r="AA19" s="5"/>
      <c r="AB19" s="9"/>
      <c r="AC19" s="5"/>
      <c r="AD19" s="9"/>
      <c r="AE19" s="5"/>
      <c r="AF19" s="2"/>
      <c r="AG19" s="9"/>
      <c r="AH19" s="5"/>
      <c r="AI19" s="9"/>
      <c r="AJ19" s="5"/>
    </row>
    <row r="20" spans="1:36" ht="26.4">
      <c r="A20" s="7" t="s">
        <v>41</v>
      </c>
      <c r="B20" s="5" t="s">
        <v>56</v>
      </c>
      <c r="C20" s="7" t="s">
        <v>37</v>
      </c>
      <c r="D20" s="7" t="str">
        <f t="shared" si="0"/>
        <v>H206-A CPP</v>
      </c>
      <c r="E20" s="7"/>
      <c r="F20" s="7"/>
      <c r="G20" s="7"/>
      <c r="H20" s="5">
        <v>810</v>
      </c>
      <c r="I20" s="5">
        <f t="shared" si="1"/>
        <v>372</v>
      </c>
      <c r="J20" s="8">
        <f t="shared" si="2"/>
        <v>90</v>
      </c>
      <c r="K20" s="8">
        <f t="shared" si="5"/>
        <v>-2.2222222222222223</v>
      </c>
      <c r="L20" s="11">
        <v>100</v>
      </c>
      <c r="M20" s="7">
        <f t="shared" si="3"/>
        <v>-200</v>
      </c>
      <c r="N20" s="9">
        <v>72</v>
      </c>
      <c r="O20" s="5">
        <v>172</v>
      </c>
      <c r="P20" s="9"/>
      <c r="Q20" s="5">
        <v>100</v>
      </c>
      <c r="R20" s="9"/>
      <c r="S20" s="5">
        <v>100</v>
      </c>
      <c r="T20" s="9"/>
      <c r="U20" s="5"/>
      <c r="V20" s="9"/>
      <c r="W20" s="5"/>
      <c r="X20" s="9"/>
      <c r="Y20" s="5"/>
      <c r="Z20" s="9"/>
      <c r="AA20" s="5"/>
      <c r="AB20" s="9"/>
      <c r="AC20" s="5"/>
      <c r="AD20" s="9"/>
      <c r="AE20" s="5"/>
      <c r="AF20" s="2"/>
      <c r="AG20" s="9"/>
      <c r="AH20" s="5"/>
      <c r="AI20" s="9"/>
      <c r="AJ20" s="5"/>
    </row>
    <row r="21" spans="1:36" ht="26.4">
      <c r="A21" s="7" t="s">
        <v>41</v>
      </c>
      <c r="B21" s="5" t="s">
        <v>57</v>
      </c>
      <c r="C21" s="7" t="s">
        <v>37</v>
      </c>
      <c r="D21" s="7" t="str">
        <f t="shared" si="0"/>
        <v>H202-A CPP</v>
      </c>
      <c r="E21" s="7"/>
      <c r="F21" s="7"/>
      <c r="G21" s="7"/>
      <c r="H21" s="5">
        <v>810</v>
      </c>
      <c r="I21" s="5">
        <f t="shared" si="1"/>
        <v>133</v>
      </c>
      <c r="J21" s="8">
        <f t="shared" si="2"/>
        <v>90</v>
      </c>
      <c r="K21" s="8">
        <f t="shared" si="5"/>
        <v>0.4777777777777778</v>
      </c>
      <c r="L21" s="11">
        <v>100</v>
      </c>
      <c r="M21" s="7">
        <f t="shared" si="3"/>
        <v>43</v>
      </c>
      <c r="N21" s="9">
        <v>76</v>
      </c>
      <c r="O21" s="5">
        <v>133</v>
      </c>
      <c r="P21" s="9"/>
      <c r="Q21" s="5">
        <v>0</v>
      </c>
      <c r="R21" s="9"/>
      <c r="S21" s="5"/>
      <c r="T21" s="9"/>
      <c r="U21" s="5"/>
      <c r="V21" s="9"/>
      <c r="W21" s="5"/>
      <c r="X21" s="9"/>
      <c r="Y21" s="5"/>
      <c r="Z21" s="9"/>
      <c r="AA21" s="5"/>
      <c r="AB21" s="9"/>
      <c r="AC21" s="5"/>
      <c r="AD21" s="9"/>
      <c r="AE21" s="5"/>
      <c r="AF21" s="2"/>
      <c r="AG21" s="9"/>
      <c r="AH21" s="5"/>
      <c r="AI21" s="9"/>
      <c r="AJ21" s="5"/>
    </row>
    <row r="22" spans="1:36" ht="26.4">
      <c r="A22" s="7" t="s">
        <v>58</v>
      </c>
      <c r="B22" s="5" t="s">
        <v>59</v>
      </c>
      <c r="C22" s="7" t="s">
        <v>37</v>
      </c>
      <c r="D22" s="7" t="str">
        <f t="shared" si="0"/>
        <v>H307-A CPP</v>
      </c>
      <c r="E22" s="7"/>
      <c r="F22" s="7"/>
      <c r="G22" s="7"/>
      <c r="H22" s="5">
        <v>810</v>
      </c>
      <c r="I22" s="5">
        <f t="shared" si="1"/>
        <v>300</v>
      </c>
      <c r="J22" s="8">
        <f t="shared" si="2"/>
        <v>90</v>
      </c>
      <c r="K22" s="8">
        <f t="shared" si="5"/>
        <v>-2.2222222222222223</v>
      </c>
      <c r="L22" s="11">
        <v>100</v>
      </c>
      <c r="M22" s="7">
        <f t="shared" si="3"/>
        <v>-200</v>
      </c>
      <c r="N22" s="9"/>
      <c r="O22" s="5">
        <v>100</v>
      </c>
      <c r="P22" s="9"/>
      <c r="Q22" s="5">
        <v>200</v>
      </c>
      <c r="R22" s="9"/>
      <c r="S22" s="5"/>
      <c r="T22" s="9"/>
      <c r="U22" s="5"/>
      <c r="V22" s="9"/>
      <c r="W22" s="5"/>
      <c r="X22" s="9"/>
      <c r="Y22" s="5"/>
      <c r="Z22" s="9"/>
      <c r="AA22" s="5"/>
      <c r="AB22" s="9"/>
      <c r="AC22" s="5"/>
      <c r="AD22" s="9"/>
      <c r="AE22" s="5"/>
      <c r="AF22" s="2"/>
      <c r="AG22" s="9"/>
      <c r="AH22" s="5"/>
      <c r="AI22" s="9"/>
      <c r="AJ22" s="5"/>
    </row>
    <row r="23" spans="1:36" ht="26.4">
      <c r="A23" s="7" t="s">
        <v>58</v>
      </c>
      <c r="B23" s="5" t="s">
        <v>60</v>
      </c>
      <c r="C23" s="7" t="s">
        <v>37</v>
      </c>
      <c r="D23" s="7" t="str">
        <f t="shared" si="0"/>
        <v>H316-A CPP</v>
      </c>
      <c r="E23" s="7"/>
      <c r="F23" s="7"/>
      <c r="G23" s="7"/>
      <c r="H23" s="5">
        <v>810</v>
      </c>
      <c r="I23" s="5">
        <f t="shared" si="1"/>
        <v>100</v>
      </c>
      <c r="J23" s="8">
        <f t="shared" si="2"/>
        <v>90</v>
      </c>
      <c r="K23" s="8">
        <f t="shared" si="5"/>
        <v>0.85555555555555551</v>
      </c>
      <c r="L23" s="11">
        <v>100</v>
      </c>
      <c r="M23" s="7">
        <f t="shared" si="3"/>
        <v>77</v>
      </c>
      <c r="N23" s="9">
        <v>77</v>
      </c>
      <c r="O23" s="5">
        <v>100</v>
      </c>
      <c r="P23" s="9"/>
      <c r="Q23" s="5">
        <v>0</v>
      </c>
      <c r="R23" s="9"/>
      <c r="S23" s="5"/>
      <c r="T23" s="9"/>
      <c r="U23" s="5"/>
      <c r="V23" s="9"/>
      <c r="W23" s="5"/>
      <c r="X23" s="9"/>
      <c r="Y23" s="5"/>
      <c r="Z23" s="9"/>
      <c r="AA23" s="5"/>
      <c r="AB23" s="9"/>
      <c r="AC23" s="5"/>
      <c r="AD23" s="9"/>
      <c r="AE23" s="5"/>
      <c r="AF23" s="2"/>
      <c r="AG23" s="9"/>
      <c r="AH23" s="5"/>
      <c r="AI23" s="9"/>
      <c r="AJ23" s="5"/>
    </row>
    <row r="24" spans="1:36" ht="26.4">
      <c r="A24" s="7" t="s">
        <v>41</v>
      </c>
      <c r="B24" s="5" t="s">
        <v>53</v>
      </c>
      <c r="C24" s="7"/>
      <c r="D24" s="7" t="str">
        <f t="shared" si="0"/>
        <v xml:space="preserve">H213-A </v>
      </c>
      <c r="E24" s="7" t="s">
        <v>61</v>
      </c>
      <c r="F24" s="7"/>
      <c r="G24" s="7"/>
      <c r="H24" s="5">
        <v>810</v>
      </c>
      <c r="I24" s="5">
        <f t="shared" si="1"/>
        <v>200</v>
      </c>
      <c r="J24" s="8">
        <f t="shared" si="2"/>
        <v>90</v>
      </c>
      <c r="K24" s="8">
        <f t="shared" si="5"/>
        <v>0</v>
      </c>
      <c r="L24" s="11">
        <v>100</v>
      </c>
      <c r="M24" s="7">
        <f t="shared" si="3"/>
        <v>0</v>
      </c>
      <c r="N24" s="9">
        <v>100</v>
      </c>
      <c r="O24" s="5">
        <v>200</v>
      </c>
      <c r="P24" s="9"/>
      <c r="Q24" s="5"/>
      <c r="R24" s="9"/>
      <c r="S24" s="5"/>
      <c r="T24" s="9"/>
      <c r="U24" s="5"/>
      <c r="V24" s="9"/>
      <c r="W24" s="5"/>
      <c r="X24" s="9"/>
      <c r="Y24" s="5"/>
      <c r="Z24" s="9"/>
      <c r="AA24" s="5"/>
      <c r="AB24" s="9"/>
      <c r="AC24" s="5"/>
      <c r="AD24" s="9"/>
      <c r="AE24" s="5"/>
      <c r="AF24" s="2"/>
      <c r="AG24" s="9"/>
      <c r="AH24" s="5"/>
      <c r="AI24" s="9"/>
      <c r="AJ24" s="5"/>
    </row>
    <row r="25" spans="1:36" ht="26.4">
      <c r="A25" s="7" t="s">
        <v>58</v>
      </c>
      <c r="B25" s="5" t="s">
        <v>59</v>
      </c>
      <c r="C25" s="7"/>
      <c r="D25" s="7" t="str">
        <f t="shared" si="0"/>
        <v xml:space="preserve">H307-A </v>
      </c>
      <c r="E25" s="7"/>
      <c r="F25" s="7"/>
      <c r="G25" s="7"/>
      <c r="H25" s="5">
        <v>810</v>
      </c>
      <c r="I25" s="5">
        <f t="shared" si="1"/>
        <v>450</v>
      </c>
      <c r="J25" s="8">
        <f t="shared" si="2"/>
        <v>90</v>
      </c>
      <c r="K25" s="8">
        <f t="shared" si="5"/>
        <v>-2.7777777777777777</v>
      </c>
      <c r="L25" s="11">
        <v>100</v>
      </c>
      <c r="M25" s="7">
        <f t="shared" si="3"/>
        <v>-250</v>
      </c>
      <c r="N25" s="9">
        <v>100</v>
      </c>
      <c r="O25" s="5">
        <v>200</v>
      </c>
      <c r="P25" s="9"/>
      <c r="Q25" s="5"/>
      <c r="R25" s="9"/>
      <c r="S25" s="5">
        <v>250</v>
      </c>
      <c r="T25" s="9"/>
      <c r="U25" s="5"/>
      <c r="V25" s="9"/>
      <c r="W25" s="5"/>
      <c r="X25" s="9"/>
      <c r="Y25" s="5"/>
      <c r="Z25" s="9"/>
      <c r="AA25" s="5"/>
      <c r="AB25" s="9"/>
      <c r="AC25" s="5"/>
      <c r="AD25" s="9"/>
      <c r="AE25" s="5"/>
      <c r="AF25" s="2"/>
      <c r="AG25" s="9"/>
      <c r="AH25" s="5"/>
      <c r="AI25" s="9"/>
      <c r="AJ25" s="5"/>
    </row>
    <row r="26" spans="1:36" ht="26.4">
      <c r="A26" s="7" t="s">
        <v>58</v>
      </c>
      <c r="B26" s="5" t="s">
        <v>60</v>
      </c>
      <c r="C26" s="7"/>
      <c r="D26" s="7" t="str">
        <f t="shared" si="0"/>
        <v xml:space="preserve">H316-A </v>
      </c>
      <c r="E26" s="7"/>
      <c r="F26" s="7"/>
      <c r="G26" s="7"/>
      <c r="H26" s="5">
        <v>810</v>
      </c>
      <c r="I26" s="5">
        <f t="shared" si="1"/>
        <v>850</v>
      </c>
      <c r="J26" s="8">
        <f t="shared" si="2"/>
        <v>90</v>
      </c>
      <c r="K26" s="8">
        <f t="shared" si="5"/>
        <v>-7.2222222222222223</v>
      </c>
      <c r="L26" s="7">
        <v>50</v>
      </c>
      <c r="M26" s="7">
        <f t="shared" si="3"/>
        <v>-650</v>
      </c>
      <c r="N26" s="9">
        <v>150</v>
      </c>
      <c r="O26" s="5">
        <v>200</v>
      </c>
      <c r="P26" s="9"/>
      <c r="Q26" s="5">
        <v>250</v>
      </c>
      <c r="R26" s="9"/>
      <c r="S26" s="5">
        <v>400</v>
      </c>
      <c r="T26" s="9"/>
      <c r="U26" s="5"/>
      <c r="V26" s="9"/>
      <c r="W26" s="5"/>
      <c r="X26" s="9"/>
      <c r="Y26" s="5"/>
      <c r="Z26" s="9"/>
      <c r="AA26" s="5"/>
      <c r="AB26" s="9"/>
      <c r="AC26" s="5"/>
      <c r="AD26" s="9"/>
      <c r="AE26" s="5"/>
      <c r="AF26" s="2"/>
      <c r="AG26" s="9"/>
      <c r="AH26" s="5"/>
      <c r="AI26" s="9"/>
      <c r="AJ26" s="5"/>
    </row>
    <row r="27" spans="1:36" ht="26.4">
      <c r="A27" s="7" t="s">
        <v>41</v>
      </c>
      <c r="B27" s="5" t="s">
        <v>52</v>
      </c>
      <c r="C27" s="7"/>
      <c r="D27" s="7" t="str">
        <f t="shared" si="0"/>
        <v xml:space="preserve">H217-A </v>
      </c>
      <c r="E27" s="7"/>
      <c r="F27" s="7"/>
      <c r="G27" s="7"/>
      <c r="H27" s="5">
        <v>810</v>
      </c>
      <c r="I27" s="5">
        <f t="shared" si="1"/>
        <v>300</v>
      </c>
      <c r="J27" s="8">
        <f t="shared" si="2"/>
        <v>90</v>
      </c>
      <c r="K27" s="8">
        <f t="shared" si="5"/>
        <v>-1.6666666666666667</v>
      </c>
      <c r="L27" s="7">
        <v>50</v>
      </c>
      <c r="M27" s="7">
        <f t="shared" si="3"/>
        <v>-150</v>
      </c>
      <c r="N27" s="9">
        <v>100</v>
      </c>
      <c r="O27" s="5">
        <v>100</v>
      </c>
      <c r="P27" s="9"/>
      <c r="Q27" s="5"/>
      <c r="R27" s="9"/>
      <c r="S27" s="5">
        <v>200</v>
      </c>
      <c r="T27" s="9"/>
      <c r="U27" s="5"/>
      <c r="V27" s="9"/>
      <c r="W27" s="5"/>
      <c r="X27" s="9"/>
      <c r="Y27" s="5"/>
      <c r="Z27" s="9"/>
      <c r="AA27" s="5"/>
      <c r="AB27" s="9"/>
      <c r="AC27" s="5"/>
      <c r="AD27" s="6"/>
      <c r="AE27" s="5"/>
      <c r="AF27" s="2"/>
      <c r="AG27" s="6"/>
      <c r="AH27" s="5"/>
      <c r="AI27" s="9"/>
      <c r="AJ27" s="5"/>
    </row>
    <row r="28" spans="1:36" ht="26.4">
      <c r="A28" s="7" t="s">
        <v>35</v>
      </c>
      <c r="B28" s="5" t="s">
        <v>51</v>
      </c>
      <c r="C28" s="7"/>
      <c r="D28" s="7" t="str">
        <f t="shared" si="0"/>
        <v xml:space="preserve">H113-A </v>
      </c>
      <c r="E28" s="7"/>
      <c r="F28" s="7"/>
      <c r="G28" s="7"/>
      <c r="H28" s="5">
        <v>810</v>
      </c>
      <c r="I28" s="5">
        <f t="shared" si="1"/>
        <v>200</v>
      </c>
      <c r="J28" s="8">
        <f t="shared" si="2"/>
        <v>90</v>
      </c>
      <c r="K28" s="8">
        <f t="shared" si="5"/>
        <v>0</v>
      </c>
      <c r="L28" s="7">
        <v>100</v>
      </c>
      <c r="M28" s="7">
        <f t="shared" si="3"/>
        <v>0</v>
      </c>
      <c r="N28" s="9">
        <v>100</v>
      </c>
      <c r="O28" s="5">
        <v>100</v>
      </c>
      <c r="P28" s="9"/>
      <c r="Q28" s="5">
        <v>100</v>
      </c>
      <c r="R28" s="9"/>
      <c r="S28" s="5"/>
      <c r="T28" s="6"/>
      <c r="U28" s="7"/>
      <c r="V28" s="9"/>
      <c r="W28" s="7"/>
      <c r="X28" s="6"/>
      <c r="Y28" s="7"/>
      <c r="Z28" s="6"/>
      <c r="AA28" s="7"/>
      <c r="AB28" s="6"/>
      <c r="AC28" s="7"/>
      <c r="AD28" s="6"/>
      <c r="AE28" s="7"/>
      <c r="AF28" s="2"/>
      <c r="AG28" s="6"/>
      <c r="AH28" s="7"/>
      <c r="AI28" s="6"/>
      <c r="AJ28" s="7"/>
    </row>
    <row r="29" spans="1:36" ht="13.8">
      <c r="A29" s="7"/>
      <c r="B29" s="5" t="s">
        <v>62</v>
      </c>
      <c r="C29" s="7"/>
      <c r="D29" s="7" t="str">
        <f t="shared" si="0"/>
        <v xml:space="preserve">H215-A </v>
      </c>
      <c r="E29" s="7"/>
      <c r="F29" s="7"/>
      <c r="G29" s="7"/>
      <c r="H29" s="5">
        <v>810</v>
      </c>
      <c r="I29" s="5">
        <f t="shared" si="1"/>
        <v>200</v>
      </c>
      <c r="J29" s="8">
        <f t="shared" si="2"/>
        <v>90</v>
      </c>
      <c r="K29" s="8">
        <f t="shared" si="5"/>
        <v>-0.55555555555555558</v>
      </c>
      <c r="L29" s="7">
        <v>50</v>
      </c>
      <c r="M29" s="7">
        <f t="shared" si="3"/>
        <v>-50</v>
      </c>
      <c r="N29" s="9">
        <v>100</v>
      </c>
      <c r="O29" s="5">
        <v>0</v>
      </c>
      <c r="P29" s="9"/>
      <c r="Q29" s="5">
        <v>100</v>
      </c>
      <c r="R29" s="6"/>
      <c r="S29" s="7">
        <v>100</v>
      </c>
      <c r="T29" s="6"/>
      <c r="U29" s="7"/>
      <c r="V29" s="6"/>
      <c r="W29" s="7"/>
      <c r="X29" s="6"/>
      <c r="Y29" s="7"/>
      <c r="Z29" s="6"/>
      <c r="AA29" s="7"/>
      <c r="AB29" s="6"/>
      <c r="AC29" s="7"/>
      <c r="AD29" s="6"/>
      <c r="AE29" s="7"/>
      <c r="AF29" s="2"/>
      <c r="AG29" s="6"/>
      <c r="AH29" s="7"/>
      <c r="AI29" s="6"/>
      <c r="AJ29" s="7"/>
    </row>
    <row r="30" spans="1:36" ht="13.8">
      <c r="A30" s="7"/>
      <c r="B30" s="5" t="s">
        <v>56</v>
      </c>
      <c r="C30" s="7"/>
      <c r="D30" s="7" t="str">
        <f t="shared" si="0"/>
        <v xml:space="preserve">H206-A </v>
      </c>
      <c r="E30" s="7"/>
      <c r="F30" s="7"/>
      <c r="G30" s="7"/>
      <c r="H30" s="5">
        <v>810</v>
      </c>
      <c r="I30" s="5">
        <f t="shared" si="1"/>
        <v>400</v>
      </c>
      <c r="J30" s="8">
        <f t="shared" si="2"/>
        <v>90</v>
      </c>
      <c r="K30" s="8">
        <f t="shared" si="5"/>
        <v>0</v>
      </c>
      <c r="L30" s="7">
        <v>100</v>
      </c>
      <c r="M30" s="7">
        <f t="shared" si="3"/>
        <v>0</v>
      </c>
      <c r="N30" s="9">
        <v>300</v>
      </c>
      <c r="O30" s="5">
        <v>400</v>
      </c>
      <c r="P30" s="9"/>
      <c r="Q30" s="5"/>
      <c r="R30" s="6"/>
      <c r="S30" s="7"/>
      <c r="T30" s="6"/>
      <c r="U30" s="7"/>
      <c r="V30" s="6"/>
      <c r="W30" s="7"/>
      <c r="X30" s="6"/>
      <c r="Y30" s="7"/>
      <c r="Z30" s="6"/>
      <c r="AA30" s="7"/>
      <c r="AB30" s="6"/>
      <c r="AC30" s="7"/>
      <c r="AD30" s="6"/>
      <c r="AE30" s="7"/>
      <c r="AF30" s="2"/>
      <c r="AG30" s="6"/>
      <c r="AH30" s="7"/>
      <c r="AI30" s="6"/>
      <c r="AJ30" s="7"/>
    </row>
    <row r="31" spans="1:36" ht="13.8">
      <c r="A31" s="7"/>
      <c r="B31" s="5" t="s">
        <v>57</v>
      </c>
      <c r="C31" s="7"/>
      <c r="D31" s="7" t="str">
        <f t="shared" si="0"/>
        <v xml:space="preserve">H202-A </v>
      </c>
      <c r="E31" s="7"/>
      <c r="F31" s="7"/>
      <c r="G31" s="7"/>
      <c r="H31" s="5">
        <v>810</v>
      </c>
      <c r="I31" s="5">
        <f t="shared" si="1"/>
        <v>400</v>
      </c>
      <c r="J31" s="8">
        <f t="shared" si="2"/>
        <v>90</v>
      </c>
      <c r="K31" s="8">
        <f t="shared" si="5"/>
        <v>0</v>
      </c>
      <c r="L31" s="7">
        <v>100</v>
      </c>
      <c r="M31" s="7">
        <f t="shared" si="3"/>
        <v>0</v>
      </c>
      <c r="N31" s="9">
        <v>300</v>
      </c>
      <c r="O31" s="5">
        <v>400</v>
      </c>
      <c r="P31" s="9"/>
      <c r="Q31" s="5"/>
      <c r="R31" s="6"/>
      <c r="S31" s="7"/>
      <c r="T31" s="6"/>
      <c r="U31" s="7"/>
      <c r="V31" s="6"/>
      <c r="W31" s="7"/>
      <c r="X31" s="6"/>
      <c r="Y31" s="7"/>
      <c r="Z31" s="6"/>
      <c r="AA31" s="7"/>
      <c r="AB31" s="6"/>
      <c r="AC31" s="7"/>
      <c r="AD31" s="6"/>
      <c r="AE31" s="7"/>
      <c r="AF31" s="2"/>
      <c r="AG31" s="6"/>
      <c r="AH31" s="7"/>
      <c r="AI31" s="6"/>
      <c r="AJ31" s="7"/>
    </row>
    <row r="32" spans="1:36" ht="13.8">
      <c r="A32" s="7"/>
      <c r="B32" s="5" t="s">
        <v>54</v>
      </c>
      <c r="C32" s="7"/>
      <c r="D32" s="7" t="str">
        <f t="shared" si="0"/>
        <v xml:space="preserve">H205-A </v>
      </c>
      <c r="E32" s="7"/>
      <c r="F32" s="7"/>
      <c r="G32" s="7"/>
      <c r="H32" s="5">
        <v>810</v>
      </c>
      <c r="I32" s="5">
        <f t="shared" si="1"/>
        <v>300</v>
      </c>
      <c r="J32" s="8">
        <f t="shared" si="2"/>
        <v>90</v>
      </c>
      <c r="K32" s="8">
        <f t="shared" si="5"/>
        <v>0</v>
      </c>
      <c r="L32" s="7"/>
      <c r="M32" s="7">
        <f t="shared" si="3"/>
        <v>0</v>
      </c>
      <c r="N32" s="9">
        <v>300</v>
      </c>
      <c r="O32" s="5">
        <v>300</v>
      </c>
      <c r="P32" s="9"/>
      <c r="Q32" s="5"/>
      <c r="R32" s="6"/>
      <c r="S32" s="7"/>
      <c r="T32" s="6"/>
      <c r="U32" s="7"/>
      <c r="V32" s="6"/>
      <c r="W32" s="7"/>
      <c r="X32" s="6"/>
      <c r="Y32" s="7"/>
      <c r="Z32" s="6"/>
      <c r="AA32" s="7"/>
      <c r="AB32" s="6"/>
      <c r="AC32" s="7"/>
      <c r="AD32" s="6"/>
      <c r="AE32" s="7"/>
      <c r="AF32" s="2"/>
      <c r="AG32" s="6"/>
      <c r="AH32" s="7"/>
      <c r="AI32" s="6"/>
      <c r="AJ32" s="7"/>
    </row>
    <row r="33" spans="1:37" s="1" customFormat="1" ht="13.8">
      <c r="A33" s="12"/>
      <c r="B33" s="5" t="s">
        <v>55</v>
      </c>
      <c r="C33" s="7"/>
      <c r="D33" s="7" t="str">
        <f t="shared" si="0"/>
        <v xml:space="preserve">H216-A </v>
      </c>
      <c r="H33" s="5">
        <v>810</v>
      </c>
      <c r="I33" s="5">
        <f t="shared" si="1"/>
        <v>350</v>
      </c>
      <c r="J33" s="8">
        <f t="shared" si="2"/>
        <v>90</v>
      </c>
      <c r="K33" s="8">
        <f t="shared" si="5"/>
        <v>-1.6666666666666667</v>
      </c>
      <c r="L33" s="1">
        <v>50</v>
      </c>
      <c r="M33" s="7">
        <f t="shared" si="3"/>
        <v>-150</v>
      </c>
      <c r="N33" s="9">
        <v>150</v>
      </c>
      <c r="O33" s="5">
        <v>50</v>
      </c>
      <c r="P33" s="9"/>
      <c r="Q33" s="5">
        <v>200</v>
      </c>
      <c r="R33" s="13"/>
      <c r="S33" s="1">
        <v>100</v>
      </c>
      <c r="T33" s="13"/>
      <c r="V33" s="13"/>
      <c r="X33" s="13"/>
      <c r="Z33" s="13"/>
      <c r="AB33" s="13"/>
      <c r="AD33" s="13"/>
      <c r="AF33" s="14"/>
      <c r="AG33" s="13"/>
      <c r="AI33" s="13"/>
      <c r="AK33" s="15"/>
    </row>
    <row r="34" spans="1:37" s="25" customFormat="1" ht="13.8">
      <c r="A34" s="7"/>
      <c r="B34" s="5" t="s">
        <v>53</v>
      </c>
      <c r="C34" s="7"/>
      <c r="D34" s="7" t="str">
        <f t="shared" si="0"/>
        <v xml:space="preserve">H213-A </v>
      </c>
      <c r="E34" s="1" t="s">
        <v>109</v>
      </c>
      <c r="F34" s="1"/>
      <c r="G34" s="1"/>
      <c r="H34" s="5">
        <v>810</v>
      </c>
      <c r="I34" s="5">
        <f t="shared" si="1"/>
        <v>100</v>
      </c>
      <c r="J34" s="8">
        <f t="shared" si="2"/>
        <v>90</v>
      </c>
      <c r="K34" s="8">
        <f t="shared" si="5"/>
        <v>0</v>
      </c>
      <c r="L34" s="7">
        <v>100</v>
      </c>
      <c r="M34" s="7">
        <f t="shared" si="3"/>
        <v>0</v>
      </c>
      <c r="N34" s="9"/>
      <c r="O34" s="5">
        <v>100</v>
      </c>
      <c r="P34" s="9"/>
      <c r="Q34" s="5"/>
      <c r="R34" s="13"/>
      <c r="S34" s="1"/>
      <c r="T34" s="13"/>
      <c r="U34" s="1"/>
      <c r="V34" s="13"/>
      <c r="W34" s="1"/>
      <c r="X34" s="13"/>
      <c r="Y34" s="1"/>
      <c r="Z34" s="13"/>
      <c r="AA34" s="1"/>
      <c r="AB34" s="13"/>
      <c r="AC34" s="1"/>
      <c r="AD34" s="13"/>
      <c r="AE34" s="1"/>
      <c r="AF34" s="14"/>
      <c r="AG34" s="13"/>
      <c r="AH34" s="1"/>
      <c r="AI34" s="13"/>
      <c r="AJ34" s="1"/>
      <c r="AK34" s="24"/>
    </row>
    <row r="35" spans="1:37" s="1" customFormat="1" ht="13.8">
      <c r="A35" s="12"/>
      <c r="B35" s="5" t="s">
        <v>59</v>
      </c>
      <c r="C35" s="7"/>
      <c r="D35" s="7" t="str">
        <f t="shared" si="0"/>
        <v xml:space="preserve">H307-A </v>
      </c>
      <c r="H35" s="5">
        <v>810</v>
      </c>
      <c r="I35" s="5">
        <f t="shared" si="1"/>
        <v>200</v>
      </c>
      <c r="J35" s="8">
        <f t="shared" si="2"/>
        <v>90</v>
      </c>
      <c r="K35" s="8">
        <f t="shared" si="5"/>
        <v>0</v>
      </c>
      <c r="L35" s="1">
        <v>100</v>
      </c>
      <c r="M35" s="7">
        <f t="shared" si="3"/>
        <v>0</v>
      </c>
      <c r="N35" s="9">
        <v>100</v>
      </c>
      <c r="O35" s="5">
        <v>100</v>
      </c>
      <c r="P35" s="9"/>
      <c r="Q35" s="26">
        <v>100</v>
      </c>
      <c r="R35" s="13"/>
      <c r="T35" s="13"/>
      <c r="V35" s="13"/>
      <c r="X35" s="13"/>
      <c r="Z35" s="13"/>
      <c r="AB35" s="13"/>
      <c r="AD35" s="13"/>
      <c r="AG35" s="13"/>
      <c r="AH35" s="27"/>
      <c r="AI35" s="13"/>
      <c r="AK35" s="15"/>
    </row>
    <row r="36" spans="1:37" ht="13.8">
      <c r="A36" s="1"/>
      <c r="B36" s="5" t="s">
        <v>60</v>
      </c>
      <c r="C36" s="7"/>
      <c r="D36" s="7" t="str">
        <f t="shared" si="0"/>
        <v xml:space="preserve">H316-A </v>
      </c>
      <c r="E36" s="1"/>
      <c r="F36" s="1"/>
      <c r="G36" s="1"/>
      <c r="H36" s="5">
        <v>810</v>
      </c>
      <c r="I36" s="5">
        <f t="shared" si="1"/>
        <v>100</v>
      </c>
      <c r="J36" s="8">
        <f t="shared" si="2"/>
        <v>90</v>
      </c>
      <c r="K36" s="8">
        <f t="shared" si="5"/>
        <v>0.55555555555555558</v>
      </c>
      <c r="L36" s="7">
        <v>50</v>
      </c>
      <c r="M36" s="7">
        <f t="shared" si="3"/>
        <v>50</v>
      </c>
      <c r="N36" s="13">
        <v>100</v>
      </c>
      <c r="O36" s="1">
        <v>100</v>
      </c>
      <c r="P36" s="13"/>
      <c r="Q36" s="1"/>
      <c r="R36" s="13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7" ht="13.8">
      <c r="A37" s="1"/>
      <c r="B37" s="5" t="s">
        <v>52</v>
      </c>
      <c r="C37" s="7"/>
      <c r="D37" s="7" t="str">
        <f t="shared" si="0"/>
        <v xml:space="preserve">H217-A </v>
      </c>
      <c r="E37" s="1"/>
      <c r="F37" s="1"/>
      <c r="G37" s="1"/>
      <c r="H37" s="5">
        <v>810</v>
      </c>
      <c r="I37" s="5">
        <f t="shared" si="1"/>
        <v>200</v>
      </c>
      <c r="J37" s="8">
        <f t="shared" si="2"/>
        <v>90</v>
      </c>
      <c r="K37" s="8">
        <f t="shared" si="5"/>
        <v>-0.55555555555555558</v>
      </c>
      <c r="L37" s="1">
        <v>50</v>
      </c>
      <c r="M37" s="7">
        <f t="shared" si="3"/>
        <v>-50</v>
      </c>
      <c r="N37" s="13">
        <v>100</v>
      </c>
      <c r="O37" s="1">
        <v>100</v>
      </c>
      <c r="P37" s="13"/>
      <c r="Q37" s="1">
        <v>100</v>
      </c>
      <c r="R37" s="13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7" ht="13.8">
      <c r="A38" s="1"/>
      <c r="B38" s="5" t="s">
        <v>51</v>
      </c>
      <c r="C38" s="7"/>
      <c r="D38" s="7" t="str">
        <f t="shared" si="0"/>
        <v xml:space="preserve">H113-A </v>
      </c>
      <c r="E38" s="1"/>
      <c r="F38" s="1"/>
      <c r="G38" s="1"/>
      <c r="H38" s="5">
        <v>810</v>
      </c>
      <c r="I38" s="5">
        <f t="shared" si="1"/>
        <v>165</v>
      </c>
      <c r="J38" s="8">
        <f t="shared" si="2"/>
        <v>90</v>
      </c>
      <c r="K38" s="8">
        <f t="shared" si="5"/>
        <v>0.3888888888888889</v>
      </c>
      <c r="L38" s="7">
        <v>100</v>
      </c>
      <c r="M38" s="7">
        <f t="shared" si="3"/>
        <v>35</v>
      </c>
      <c r="N38" s="13">
        <v>100</v>
      </c>
      <c r="O38" s="1">
        <v>100</v>
      </c>
      <c r="P38" s="13"/>
      <c r="Q38" s="1">
        <v>65</v>
      </c>
      <c r="R38" s="13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7" ht="13.8">
      <c r="A39" s="1"/>
      <c r="B39" s="5" t="s">
        <v>62</v>
      </c>
      <c r="C39" s="7"/>
      <c r="D39" s="7" t="str">
        <f t="shared" si="0"/>
        <v xml:space="preserve">H215-A </v>
      </c>
      <c r="E39" s="1"/>
      <c r="F39" s="1"/>
      <c r="G39" s="1"/>
      <c r="H39" s="5">
        <v>810</v>
      </c>
      <c r="I39" s="5">
        <f t="shared" si="1"/>
        <v>100</v>
      </c>
      <c r="J39" s="8">
        <f t="shared" si="2"/>
        <v>90</v>
      </c>
      <c r="K39" s="8">
        <f t="shared" si="5"/>
        <v>-1.1111111111111112</v>
      </c>
      <c r="L39" s="1"/>
      <c r="M39" s="7">
        <f t="shared" si="3"/>
        <v>-100</v>
      </c>
      <c r="N39" s="13"/>
      <c r="O39" s="1"/>
      <c r="P39" s="13"/>
      <c r="Q39" s="1">
        <v>100</v>
      </c>
      <c r="R39" s="13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7" ht="13.8">
      <c r="A40" s="1"/>
      <c r="B40" s="5" t="s">
        <v>56</v>
      </c>
      <c r="C40" s="7"/>
      <c r="D40" s="7" t="str">
        <f t="shared" si="0"/>
        <v xml:space="preserve">H206-A </v>
      </c>
      <c r="E40" s="1"/>
      <c r="F40" s="1"/>
      <c r="G40" s="1"/>
      <c r="H40" s="5">
        <v>810</v>
      </c>
      <c r="I40" s="5">
        <f t="shared" si="1"/>
        <v>200</v>
      </c>
      <c r="J40" s="8">
        <f t="shared" si="2"/>
        <v>90</v>
      </c>
      <c r="K40" s="8">
        <f t="shared" si="5"/>
        <v>0</v>
      </c>
      <c r="L40" s="7">
        <v>100</v>
      </c>
      <c r="M40" s="7">
        <f t="shared" si="3"/>
        <v>0</v>
      </c>
      <c r="N40" s="13">
        <v>100</v>
      </c>
      <c r="O40" s="1">
        <v>100</v>
      </c>
      <c r="P40" s="13"/>
      <c r="Q40" s="1"/>
      <c r="R40" s="13"/>
      <c r="S40" s="1">
        <v>100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7" ht="13.8">
      <c r="A41" s="1"/>
      <c r="B41" s="5" t="s">
        <v>57</v>
      </c>
      <c r="C41" s="7"/>
      <c r="D41" s="7" t="str">
        <f t="shared" si="0"/>
        <v xml:space="preserve">H202-A </v>
      </c>
      <c r="E41" s="1"/>
      <c r="F41" s="1"/>
      <c r="G41" s="1"/>
      <c r="H41" s="5">
        <v>810</v>
      </c>
      <c r="I41" s="5">
        <f t="shared" si="1"/>
        <v>100</v>
      </c>
      <c r="J41" s="8">
        <f t="shared" si="2"/>
        <v>90</v>
      </c>
      <c r="K41" s="8">
        <f t="shared" si="5"/>
        <v>1.1111111111111112</v>
      </c>
      <c r="L41" s="1">
        <v>100</v>
      </c>
      <c r="M41" s="7">
        <f t="shared" si="3"/>
        <v>100</v>
      </c>
      <c r="N41" s="13">
        <v>100</v>
      </c>
      <c r="O41" s="1">
        <v>100</v>
      </c>
      <c r="P41" s="13"/>
      <c r="Q41" s="1"/>
      <c r="R41" s="13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7" ht="13.8">
      <c r="A42" s="1"/>
      <c r="B42" s="5" t="s">
        <v>54</v>
      </c>
      <c r="C42" s="7"/>
      <c r="D42" s="7" t="str">
        <f t="shared" si="0"/>
        <v xml:space="preserve">H205-A </v>
      </c>
      <c r="E42" s="1"/>
      <c r="F42" s="1"/>
      <c r="G42" s="1"/>
      <c r="H42" s="5">
        <v>810</v>
      </c>
      <c r="I42" s="5">
        <f t="shared" si="1"/>
        <v>200</v>
      </c>
      <c r="J42" s="8">
        <f t="shared" si="2"/>
        <v>90</v>
      </c>
      <c r="K42" s="8">
        <f t="shared" si="5"/>
        <v>-1.1111111111111112</v>
      </c>
      <c r="L42" s="7"/>
      <c r="M42" s="7">
        <f t="shared" si="3"/>
        <v>-100</v>
      </c>
      <c r="N42" s="13">
        <v>100</v>
      </c>
      <c r="O42" s="1">
        <v>100</v>
      </c>
      <c r="P42" s="13"/>
      <c r="Q42" s="1">
        <v>100</v>
      </c>
      <c r="R42" s="13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7" ht="13.8">
      <c r="A43" s="1"/>
      <c r="B43" s="5" t="s">
        <v>55</v>
      </c>
      <c r="C43" s="7"/>
      <c r="D43" s="7" t="str">
        <f t="shared" si="0"/>
        <v xml:space="preserve">H216-A </v>
      </c>
      <c r="E43" s="1"/>
      <c r="F43" s="1"/>
      <c r="G43" s="1"/>
      <c r="H43" s="5">
        <v>810</v>
      </c>
      <c r="I43" s="5">
        <f t="shared" si="1"/>
        <v>116</v>
      </c>
      <c r="J43" s="8">
        <f t="shared" si="2"/>
        <v>90</v>
      </c>
      <c r="K43" s="8">
        <f t="shared" si="5"/>
        <v>0.37777777777777777</v>
      </c>
      <c r="L43" s="1">
        <v>50</v>
      </c>
      <c r="M43" s="7">
        <f t="shared" si="3"/>
        <v>34</v>
      </c>
      <c r="N43" s="13">
        <v>100</v>
      </c>
      <c r="O43" s="1"/>
      <c r="P43" s="13"/>
      <c r="Q43" s="1">
        <v>116</v>
      </c>
      <c r="R43" s="13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7" ht="13.8">
      <c r="A44" s="1"/>
      <c r="B44" s="1" t="s">
        <v>62</v>
      </c>
      <c r="C44" s="7" t="s">
        <v>37</v>
      </c>
      <c r="D44" s="7" t="str">
        <f t="shared" si="0"/>
        <v>H215-A CPP</v>
      </c>
      <c r="E44" s="1"/>
      <c r="F44" s="1"/>
      <c r="G44" s="1"/>
      <c r="H44" s="5">
        <v>810</v>
      </c>
      <c r="I44" s="5">
        <f t="shared" si="1"/>
        <v>62</v>
      </c>
      <c r="J44" s="8">
        <f t="shared" si="2"/>
        <v>90</v>
      </c>
      <c r="K44" s="8">
        <f t="shared" si="5"/>
        <v>0.42222222222222222</v>
      </c>
      <c r="L44" s="7">
        <v>100</v>
      </c>
      <c r="M44" s="7">
        <f t="shared" si="3"/>
        <v>38</v>
      </c>
      <c r="N44" s="1"/>
      <c r="O44" s="1"/>
      <c r="P44" s="1"/>
      <c r="Q44" s="1">
        <v>62</v>
      </c>
      <c r="R44" s="1"/>
      <c r="S44" s="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7" ht="13.8">
      <c r="A45" s="1"/>
      <c r="B45" s="1" t="s">
        <v>63</v>
      </c>
      <c r="C45" s="7" t="s">
        <v>64</v>
      </c>
      <c r="D45" s="7" t="str">
        <f t="shared" si="0"/>
        <v>H520-A ITR</v>
      </c>
      <c r="E45" s="1"/>
      <c r="F45" s="1"/>
      <c r="G45" s="1"/>
      <c r="H45" s="5">
        <v>810</v>
      </c>
      <c r="I45" s="5">
        <f t="shared" si="1"/>
        <v>0</v>
      </c>
      <c r="J45" s="8">
        <f t="shared" si="2"/>
        <v>90</v>
      </c>
      <c r="K45" s="8">
        <f t="shared" si="5"/>
        <v>1.1111111111111112</v>
      </c>
      <c r="L45" s="7">
        <v>100</v>
      </c>
      <c r="M45" s="7">
        <f t="shared" si="3"/>
        <v>100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7" ht="13.8">
      <c r="A46" s="1"/>
      <c r="B46" s="1" t="s">
        <v>65</v>
      </c>
      <c r="C46" s="7" t="s">
        <v>64</v>
      </c>
      <c r="D46" s="7" t="str">
        <f t="shared" si="0"/>
        <v>H501-A ITR</v>
      </c>
      <c r="E46" s="1"/>
      <c r="F46" s="1"/>
      <c r="G46" s="1"/>
      <c r="H46" s="5">
        <v>810</v>
      </c>
      <c r="I46" s="5">
        <f t="shared" si="1"/>
        <v>0</v>
      </c>
      <c r="J46" s="8">
        <f t="shared" si="2"/>
        <v>90</v>
      </c>
      <c r="K46" s="8">
        <f t="shared" si="5"/>
        <v>1.1111111111111112</v>
      </c>
      <c r="L46" s="7">
        <v>100</v>
      </c>
      <c r="M46" s="7">
        <f t="shared" si="3"/>
        <v>100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</sheetData>
  <mergeCells count="34">
    <mergeCell ref="G1:G3"/>
    <mergeCell ref="A1:A3"/>
    <mergeCell ref="B1:B3"/>
    <mergeCell ref="C1:C3"/>
    <mergeCell ref="E1:E3"/>
    <mergeCell ref="F1:F3"/>
    <mergeCell ref="M1:M3"/>
    <mergeCell ref="N1:O1"/>
    <mergeCell ref="P1:Q1"/>
    <mergeCell ref="R1:S1"/>
    <mergeCell ref="T1:U1"/>
    <mergeCell ref="N2:O2"/>
    <mergeCell ref="P2:Q2"/>
    <mergeCell ref="R2:S2"/>
    <mergeCell ref="T2:U2"/>
    <mergeCell ref="H1:H3"/>
    <mergeCell ref="I1:I3"/>
    <mergeCell ref="J1:J3"/>
    <mergeCell ref="K1:K3"/>
    <mergeCell ref="L1:L3"/>
    <mergeCell ref="V2:W2"/>
    <mergeCell ref="AI2:AJ2"/>
    <mergeCell ref="Z1:AA1"/>
    <mergeCell ref="AB1:AC1"/>
    <mergeCell ref="AD1:AE1"/>
    <mergeCell ref="AG1:AH1"/>
    <mergeCell ref="AI1:AJ1"/>
    <mergeCell ref="X2:Y2"/>
    <mergeCell ref="Z2:AA2"/>
    <mergeCell ref="AB2:AC2"/>
    <mergeCell ref="AD2:AE2"/>
    <mergeCell ref="AG2:AH2"/>
    <mergeCell ref="X1:Y1"/>
    <mergeCell ref="V1:W1"/>
  </mergeCells>
  <conditionalFormatting sqref="B1:B1048576">
    <cfRule type="duplicateValues" dxfId="44" priority="1"/>
  </conditionalFormatting>
  <conditionalFormatting sqref="L1:M1 M4:M46">
    <cfRule type="cellIs" dxfId="43" priority="2" operator="greaterThan">
      <formula>120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"/>
  <sheetViews>
    <sheetView workbookViewId="0">
      <selection activeCell="H13" sqref="H13"/>
    </sheetView>
  </sheetViews>
  <sheetFormatPr defaultColWidth="8.69921875" defaultRowHeight="13.8"/>
  <cols>
    <col min="1" max="1" width="8.69921875" style="16"/>
    <col min="2" max="5" width="8.69921875" style="17"/>
    <col min="6" max="6" width="8.69921875" style="17" customWidth="1"/>
    <col min="7" max="9" width="8.69921875" style="17"/>
    <col min="10" max="11" width="8.69921875" style="17" customWidth="1"/>
    <col min="12" max="16384" width="8.69921875" style="17"/>
  </cols>
  <sheetData>
    <row r="1" spans="6:21" s="16" customFormat="1" ht="18.45" customHeight="1">
      <c r="F1" s="18"/>
      <c r="K1" s="35" t="s">
        <v>67</v>
      </c>
      <c r="L1" s="35"/>
      <c r="M1" s="35"/>
      <c r="N1" s="35"/>
      <c r="O1" s="35"/>
      <c r="P1" s="35"/>
      <c r="Q1" s="35"/>
      <c r="R1" s="35"/>
      <c r="S1" s="35"/>
      <c r="T1" s="35"/>
      <c r="U1" s="35"/>
    </row>
    <row r="2" spans="6:21" s="16" customFormat="1" ht="18.45" customHeight="1">
      <c r="F2" s="19"/>
      <c r="K2" s="36" t="s">
        <v>68</v>
      </c>
      <c r="L2" s="37"/>
      <c r="M2" s="37"/>
      <c r="N2" s="37"/>
      <c r="O2" s="37"/>
      <c r="P2" s="37"/>
      <c r="Q2" s="37"/>
      <c r="R2" s="37"/>
      <c r="S2" s="37"/>
      <c r="T2" s="37"/>
      <c r="U2" s="37"/>
    </row>
    <row r="3" spans="6:21" s="16" customFormat="1">
      <c r="F3" s="20"/>
      <c r="I3" s="22" t="s">
        <v>66</v>
      </c>
      <c r="J3" s="22"/>
    </row>
    <row r="4" spans="6:21" s="16" customFormat="1">
      <c r="F4" s="21"/>
    </row>
  </sheetData>
  <mergeCells count="2">
    <mergeCell ref="K1:U1"/>
    <mergeCell ref="K2:U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4"/>
  <sheetViews>
    <sheetView workbookViewId="0">
      <selection activeCell="I6" sqref="I6"/>
    </sheetView>
  </sheetViews>
  <sheetFormatPr defaultColWidth="8.69921875" defaultRowHeight="13.8"/>
  <cols>
    <col min="1" max="1" width="8.69921875" style="16"/>
    <col min="2" max="5" width="8.69921875" style="17"/>
    <col min="6" max="6" width="8.69921875" style="17" customWidth="1"/>
    <col min="7" max="9" width="8.69921875" style="17"/>
    <col min="10" max="11" width="8.69921875" style="17" customWidth="1"/>
    <col min="12" max="16384" width="8.69921875" style="17"/>
  </cols>
  <sheetData>
    <row r="1" spans="6:21" s="16" customFormat="1" ht="18.45" customHeight="1">
      <c r="F1" s="18"/>
      <c r="K1" s="35" t="s">
        <v>67</v>
      </c>
      <c r="L1" s="35"/>
      <c r="M1" s="35"/>
      <c r="N1" s="35"/>
      <c r="O1" s="35"/>
      <c r="P1" s="35"/>
      <c r="Q1" s="35"/>
      <c r="R1" s="35"/>
      <c r="S1" s="35"/>
      <c r="T1" s="35"/>
      <c r="U1" s="35"/>
    </row>
    <row r="2" spans="6:21" s="16" customFormat="1" ht="18.45" customHeight="1">
      <c r="F2" s="19"/>
      <c r="K2" s="36" t="s">
        <v>68</v>
      </c>
      <c r="L2" s="37"/>
      <c r="M2" s="37"/>
      <c r="N2" s="37"/>
      <c r="O2" s="37"/>
      <c r="P2" s="37"/>
      <c r="Q2" s="37"/>
      <c r="R2" s="37"/>
      <c r="S2" s="37"/>
      <c r="T2" s="37"/>
      <c r="U2" s="37"/>
    </row>
    <row r="3" spans="6:21" s="16" customFormat="1">
      <c r="F3" s="20"/>
      <c r="I3" s="22" t="s">
        <v>66</v>
      </c>
      <c r="J3" s="22"/>
    </row>
    <row r="4" spans="6:21" s="16" customFormat="1">
      <c r="F4" s="21"/>
    </row>
  </sheetData>
  <mergeCells count="2">
    <mergeCell ref="K1:U1"/>
    <mergeCell ref="K2:U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D1:V174"/>
  <sheetViews>
    <sheetView workbookViewId="0">
      <selection activeCell="E6" sqref="E6"/>
    </sheetView>
  </sheetViews>
  <sheetFormatPr defaultRowHeight="13.8"/>
  <sheetData>
    <row r="1" spans="4:22" ht="17.399999999999999">
      <c r="F1" s="18"/>
      <c r="K1" s="39" t="s">
        <v>67</v>
      </c>
      <c r="L1" s="39"/>
      <c r="M1" s="39"/>
      <c r="N1" s="39"/>
      <c r="O1" s="39"/>
      <c r="P1" s="39"/>
      <c r="Q1" s="39"/>
      <c r="R1" s="39"/>
      <c r="S1" s="39"/>
      <c r="T1" s="39"/>
      <c r="U1" s="39"/>
      <c r="V1" s="18"/>
    </row>
    <row r="2" spans="4:22">
      <c r="F2" s="19"/>
      <c r="V2" s="19"/>
    </row>
    <row r="3" spans="4:22">
      <c r="F3" s="20"/>
      <c r="J3" s="38"/>
      <c r="K3" s="38"/>
      <c r="V3" s="20"/>
    </row>
    <row r="4" spans="4:22">
      <c r="F4" s="21"/>
      <c r="V4" s="21"/>
    </row>
    <row r="5" spans="4:22">
      <c r="D5" s="7" t="str">
        <f>IFERROR(CONCATENATE(B5," ",C5),"")</f>
        <v xml:space="preserve"> </v>
      </c>
      <c r="E5" t="s">
        <v>102</v>
      </c>
      <c r="F5" t="s">
        <v>103</v>
      </c>
      <c r="G5" t="s">
        <v>104</v>
      </c>
    </row>
    <row r="6" spans="4:22">
      <c r="E6" s="5">
        <v>605</v>
      </c>
      <c r="F6" s="5">
        <f>L6+N6+P6+R6+T6+V6+X6+Z6+AB6+AE6+AG6</f>
        <v>0</v>
      </c>
      <c r="G6" s="8">
        <f>E6/9</f>
        <v>67.222222222222229</v>
      </c>
    </row>
    <row r="9" spans="4:22">
      <c r="D9" s="7" t="str">
        <f t="shared" ref="D9" si="0">IFERROR(CONCATENATE(B9," ",C9),"")</f>
        <v xml:space="preserve"> </v>
      </c>
      <c r="E9" t="s">
        <v>102</v>
      </c>
      <c r="F9" t="s">
        <v>103</v>
      </c>
      <c r="G9" t="s">
        <v>104</v>
      </c>
    </row>
    <row r="10" spans="4:22">
      <c r="E10" s="5">
        <v>440</v>
      </c>
      <c r="F10" s="5">
        <f t="shared" ref="F10" si="1">L10+N10+P10+R10+T10+V10+X10+Z10+AB10+AE10+AG10</f>
        <v>0</v>
      </c>
      <c r="G10" s="8">
        <f t="shared" ref="G10" si="2">E10/9</f>
        <v>48.888888888888886</v>
      </c>
    </row>
    <row r="13" spans="4:22">
      <c r="D13" s="7" t="str">
        <f t="shared" ref="D13" si="3">IFERROR(CONCATENATE(B13," ",C13),"")</f>
        <v xml:space="preserve"> </v>
      </c>
      <c r="E13" t="s">
        <v>102</v>
      </c>
      <c r="F13" t="s">
        <v>103</v>
      </c>
      <c r="G13" t="s">
        <v>104</v>
      </c>
    </row>
    <row r="14" spans="4:22">
      <c r="E14" s="5">
        <v>550</v>
      </c>
      <c r="F14" s="5">
        <f t="shared" ref="F14" si="4">L14+N14+P14+R14+T14+V14+X14+Z14+AB14+AE14+AG14</f>
        <v>0</v>
      </c>
      <c r="G14" s="8">
        <f>E14/9</f>
        <v>61.111111111111114</v>
      </c>
    </row>
    <row r="17" spans="4:7">
      <c r="D17" s="7" t="str">
        <f t="shared" ref="D17" si="5">IFERROR(CONCATENATE(B17," ",C17),"")</f>
        <v xml:space="preserve"> </v>
      </c>
      <c r="E17" t="s">
        <v>102</v>
      </c>
      <c r="F17" t="s">
        <v>103</v>
      </c>
      <c r="G17" t="s">
        <v>104</v>
      </c>
    </row>
    <row r="18" spans="4:7">
      <c r="E18" s="5">
        <v>495</v>
      </c>
      <c r="F18" s="5">
        <f t="shared" ref="F18" si="6">L18+N18+P18+R18+T18+V18+X18+Z18+AB18+AE18+AG18</f>
        <v>0</v>
      </c>
      <c r="G18" s="8">
        <f t="shared" ref="G18" si="7">E18/9</f>
        <v>55</v>
      </c>
    </row>
    <row r="21" spans="4:7">
      <c r="D21" s="7" t="str">
        <f t="shared" ref="D21" si="8">IFERROR(CONCATENATE(B21," ",C21),"")</f>
        <v xml:space="preserve"> </v>
      </c>
      <c r="E21" t="s">
        <v>102</v>
      </c>
      <c r="F21" t="s">
        <v>103</v>
      </c>
      <c r="G21" t="s">
        <v>104</v>
      </c>
    </row>
    <row r="22" spans="4:7">
      <c r="E22" s="5">
        <v>416</v>
      </c>
      <c r="F22" s="5">
        <f t="shared" ref="F22" si="9">L22+N22+P22+R22+T22+V22+X22+Z22+AB22+AE22+AG22</f>
        <v>0</v>
      </c>
      <c r="G22" s="8">
        <f t="shared" ref="G22" si="10">E22/9</f>
        <v>46.222222222222221</v>
      </c>
    </row>
    <row r="25" spans="4:7">
      <c r="D25" s="7" t="str">
        <f t="shared" ref="D25" si="11">IFERROR(CONCATENATE(B25," ",C25),"")</f>
        <v xml:space="preserve"> </v>
      </c>
      <c r="E25" t="s">
        <v>102</v>
      </c>
      <c r="F25" t="s">
        <v>103</v>
      </c>
      <c r="G25" t="s">
        <v>104</v>
      </c>
    </row>
    <row r="26" spans="4:7">
      <c r="E26" s="5">
        <v>448</v>
      </c>
      <c r="F26" s="5">
        <f t="shared" ref="F26" si="12">L26+N26+P26+R26+T26+V26+X26+Z26+AB26+AE26+AG26</f>
        <v>0</v>
      </c>
      <c r="G26" s="8">
        <f t="shared" ref="G26" si="13">E26/9</f>
        <v>49.777777777777779</v>
      </c>
    </row>
    <row r="29" spans="4:7">
      <c r="D29" s="7" t="str">
        <f t="shared" ref="D29" si="14">IFERROR(CONCATENATE(B29," ",C29),"")</f>
        <v xml:space="preserve"> </v>
      </c>
      <c r="E29" t="s">
        <v>102</v>
      </c>
      <c r="F29" t="s">
        <v>103</v>
      </c>
      <c r="G29" t="s">
        <v>104</v>
      </c>
    </row>
    <row r="30" spans="4:7">
      <c r="E30" s="5">
        <v>244</v>
      </c>
      <c r="F30" s="5">
        <f t="shared" ref="F30" si="15">L30+N30+P30+R30+T30+V30+X30+Z30+AB30+AE30+AG30</f>
        <v>0</v>
      </c>
      <c r="G30" s="8">
        <f t="shared" ref="G30" si="16">E30/9</f>
        <v>27.111111111111111</v>
      </c>
    </row>
    <row r="33" spans="4:7">
      <c r="D33" s="7" t="str">
        <f t="shared" ref="D33" si="17">IFERROR(CONCATENATE(B33," ",C33),"")</f>
        <v xml:space="preserve"> </v>
      </c>
      <c r="E33" t="s">
        <v>102</v>
      </c>
      <c r="F33" t="s">
        <v>103</v>
      </c>
      <c r="G33" t="s">
        <v>104</v>
      </c>
    </row>
    <row r="34" spans="4:7">
      <c r="E34" s="5">
        <v>121</v>
      </c>
      <c r="F34" s="5">
        <f t="shared" ref="F34" si="18">L34+N34+P34+R34+T34+V34+X34+Z34+AB34+AE34+AG34</f>
        <v>0</v>
      </c>
      <c r="G34" s="8">
        <f t="shared" ref="G34" si="19">E34/9</f>
        <v>13.444444444444445</v>
      </c>
    </row>
    <row r="37" spans="4:7">
      <c r="D37" s="7" t="str">
        <f t="shared" ref="D37" si="20">IFERROR(CONCATENATE(B37," ",C37),"")</f>
        <v xml:space="preserve"> </v>
      </c>
      <c r="E37" t="s">
        <v>102</v>
      </c>
      <c r="F37" t="s">
        <v>103</v>
      </c>
      <c r="G37" t="s">
        <v>104</v>
      </c>
    </row>
    <row r="38" spans="4:7">
      <c r="E38" s="5">
        <v>586</v>
      </c>
      <c r="F38" s="5">
        <f t="shared" ref="F38" si="21">L38+N38+P38+R38+T38+V38+X38+Z38+AB38+AE38+AG38</f>
        <v>0</v>
      </c>
      <c r="G38" s="8">
        <f t="shared" ref="G38" si="22">E38/9</f>
        <v>65.111111111111114</v>
      </c>
    </row>
    <row r="41" spans="4:7">
      <c r="D41" s="7" t="str">
        <f t="shared" ref="D41" si="23">IFERROR(CONCATENATE(B41," ",C41),"")</f>
        <v xml:space="preserve"> </v>
      </c>
      <c r="E41" t="s">
        <v>102</v>
      </c>
      <c r="F41" t="s">
        <v>103</v>
      </c>
      <c r="G41" t="s">
        <v>104</v>
      </c>
    </row>
    <row r="42" spans="4:7">
      <c r="E42" s="5">
        <v>240</v>
      </c>
      <c r="F42" s="5">
        <f t="shared" ref="F42" si="24">L42+N42+P42+R42+T42+V42+X42+Z42+AB42+AE42+AG42</f>
        <v>0</v>
      </c>
      <c r="G42" s="8">
        <f t="shared" ref="G42" si="25">E42/9</f>
        <v>26.666666666666668</v>
      </c>
    </row>
    <row r="45" spans="4:7">
      <c r="D45" s="7" t="str">
        <f t="shared" ref="D45" si="26">IFERROR(CONCATENATE(B45," ",C45),"")</f>
        <v xml:space="preserve"> </v>
      </c>
      <c r="E45" t="s">
        <v>102</v>
      </c>
      <c r="F45" t="s">
        <v>103</v>
      </c>
      <c r="G45" t="s">
        <v>104</v>
      </c>
    </row>
    <row r="46" spans="4:7">
      <c r="E46" s="5">
        <v>640</v>
      </c>
      <c r="F46" s="5">
        <f t="shared" ref="F46" si="27">L46+N46+P46+R46+T46+V46+X46+Z46+AB46+AE46+AG46</f>
        <v>0</v>
      </c>
      <c r="G46" s="8">
        <f t="shared" ref="G46" si="28">E46/9</f>
        <v>71.111111111111114</v>
      </c>
    </row>
    <row r="49" spans="4:7">
      <c r="D49" s="7" t="str">
        <f t="shared" ref="D49" si="29">IFERROR(CONCATENATE(B49," ",C49),"")</f>
        <v xml:space="preserve"> </v>
      </c>
      <c r="E49" t="s">
        <v>102</v>
      </c>
      <c r="F49" t="s">
        <v>103</v>
      </c>
      <c r="G49" t="s">
        <v>104</v>
      </c>
    </row>
    <row r="50" spans="4:7">
      <c r="E50" s="5">
        <v>810</v>
      </c>
      <c r="F50" s="5">
        <f t="shared" ref="F50" si="30">L50+N50+P50+R50+T50+V50+X50+Z50+AB50+AE50+AG50</f>
        <v>0</v>
      </c>
      <c r="G50" s="8">
        <f t="shared" ref="G50" si="31">E50/9</f>
        <v>90</v>
      </c>
    </row>
    <row r="53" spans="4:7">
      <c r="D53" s="7" t="str">
        <f t="shared" ref="D53" si="32">IFERROR(CONCATENATE(B53," ",C53),"")</f>
        <v xml:space="preserve"> </v>
      </c>
      <c r="E53" t="s">
        <v>102</v>
      </c>
      <c r="F53" t="s">
        <v>103</v>
      </c>
      <c r="G53" t="s">
        <v>104</v>
      </c>
    </row>
    <row r="54" spans="4:7">
      <c r="E54" s="5">
        <v>810</v>
      </c>
      <c r="F54" s="5">
        <f t="shared" ref="F54" si="33">L54+N54+P54+R54+T54+V54+X54+Z54+AB54+AE54+AG54</f>
        <v>0</v>
      </c>
      <c r="G54" s="8">
        <f t="shared" ref="G54" si="34">E54/9</f>
        <v>90</v>
      </c>
    </row>
    <row r="57" spans="4:7">
      <c r="D57" s="7" t="str">
        <f t="shared" ref="D57" si="35">IFERROR(CONCATENATE(B57," ",C57),"")</f>
        <v xml:space="preserve"> </v>
      </c>
      <c r="E57" t="s">
        <v>102</v>
      </c>
      <c r="F57" t="s">
        <v>103</v>
      </c>
      <c r="G57" t="s">
        <v>104</v>
      </c>
    </row>
    <row r="58" spans="4:7">
      <c r="E58" s="5">
        <v>810</v>
      </c>
      <c r="F58" s="5">
        <f t="shared" ref="F58" si="36">L58+N58+P58+R58+T58+V58+X58+Z58+AB58+AE58+AG58</f>
        <v>0</v>
      </c>
      <c r="G58" s="8">
        <f t="shared" ref="G58" si="37">E58/9</f>
        <v>90</v>
      </c>
    </row>
    <row r="61" spans="4:7">
      <c r="D61" s="7" t="str">
        <f t="shared" ref="D61" si="38">IFERROR(CONCATENATE(B61," ",C61),"")</f>
        <v xml:space="preserve"> </v>
      </c>
      <c r="E61" t="s">
        <v>102</v>
      </c>
      <c r="F61" t="s">
        <v>103</v>
      </c>
      <c r="G61" t="s">
        <v>104</v>
      </c>
    </row>
    <row r="62" spans="4:7">
      <c r="E62" s="5">
        <v>810</v>
      </c>
      <c r="F62" s="5">
        <f t="shared" ref="F62" si="39">L62+N62+P62+R62+T62+V62+X62+Z62+AB62+AE62+AG62</f>
        <v>0</v>
      </c>
      <c r="G62" s="8">
        <f t="shared" ref="G62" si="40">E62/9</f>
        <v>90</v>
      </c>
    </row>
    <row r="65" spans="4:7">
      <c r="D65" s="7" t="str">
        <f t="shared" ref="D65" si="41">IFERROR(CONCATENATE(B65," ",C65),"")</f>
        <v xml:space="preserve"> </v>
      </c>
      <c r="E65" t="s">
        <v>102</v>
      </c>
      <c r="F65" t="s">
        <v>103</v>
      </c>
      <c r="G65" t="s">
        <v>104</v>
      </c>
    </row>
    <row r="66" spans="4:7">
      <c r="E66" s="5">
        <v>810</v>
      </c>
      <c r="F66" s="5">
        <f t="shared" ref="F66" si="42">L66+N66+P66+R66+T66+V66+X66+Z66+AB66+AE66+AG66</f>
        <v>0</v>
      </c>
      <c r="G66" s="8">
        <f t="shared" ref="G66" si="43">E66/9</f>
        <v>90</v>
      </c>
    </row>
    <row r="69" spans="4:7">
      <c r="D69" s="7" t="str">
        <f t="shared" ref="D69" si="44">IFERROR(CONCATENATE(B69," ",C69),"")</f>
        <v xml:space="preserve"> </v>
      </c>
      <c r="E69" t="s">
        <v>102</v>
      </c>
      <c r="F69" t="s">
        <v>103</v>
      </c>
      <c r="G69" t="s">
        <v>104</v>
      </c>
    </row>
    <row r="70" spans="4:7">
      <c r="E70" s="5">
        <v>810</v>
      </c>
      <c r="F70" s="5">
        <f t="shared" ref="F70" si="45">L70+N70+P70+R70+T70+V70+X70+Z70+AB70+AE70+AG70</f>
        <v>0</v>
      </c>
      <c r="G70" s="8">
        <f t="shared" ref="G70" si="46">E70/9</f>
        <v>90</v>
      </c>
    </row>
    <row r="73" spans="4:7">
      <c r="D73" s="7" t="str">
        <f t="shared" ref="D73" si="47">IFERROR(CONCATENATE(B73," ",C73),"")</f>
        <v xml:space="preserve"> </v>
      </c>
      <c r="E73" t="s">
        <v>102</v>
      </c>
      <c r="F73" t="s">
        <v>103</v>
      </c>
      <c r="G73" t="s">
        <v>104</v>
      </c>
    </row>
    <row r="74" spans="4:7">
      <c r="E74" s="5">
        <v>810</v>
      </c>
      <c r="F74" s="5">
        <f t="shared" ref="F74" si="48">L74+N74+P74+R74+T74+V74+X74+Z74+AB74+AE74+AG74</f>
        <v>0</v>
      </c>
      <c r="G74" s="8">
        <f t="shared" ref="G74" si="49">E74/9</f>
        <v>90</v>
      </c>
    </row>
    <row r="77" spans="4:7">
      <c r="D77" s="7" t="str">
        <f t="shared" ref="D77" si="50">IFERROR(CONCATENATE(B77," ",C77),"")</f>
        <v xml:space="preserve"> </v>
      </c>
      <c r="E77" t="s">
        <v>102</v>
      </c>
      <c r="F77" t="s">
        <v>103</v>
      </c>
      <c r="G77" t="s">
        <v>104</v>
      </c>
    </row>
    <row r="78" spans="4:7">
      <c r="E78" s="5">
        <v>810</v>
      </c>
      <c r="F78" s="5">
        <f t="shared" ref="F78" si="51">L78+N78+P78+R78+T78+V78+X78+Z78+AB78+AE78+AG78</f>
        <v>0</v>
      </c>
      <c r="G78" s="8">
        <f t="shared" ref="G78" si="52">E78/9</f>
        <v>90</v>
      </c>
    </row>
    <row r="81" spans="4:7">
      <c r="D81" s="7" t="str">
        <f t="shared" ref="D81" si="53">IFERROR(CONCATENATE(B81," ",C81),"")</f>
        <v xml:space="preserve"> </v>
      </c>
      <c r="E81" t="s">
        <v>102</v>
      </c>
      <c r="F81" t="s">
        <v>103</v>
      </c>
      <c r="G81" t="s">
        <v>104</v>
      </c>
    </row>
    <row r="82" spans="4:7">
      <c r="E82" s="5">
        <v>810</v>
      </c>
      <c r="F82" s="5">
        <f t="shared" ref="F82" si="54">L82+N82+P82+R82+T82+V82+X82+Z82+AB82+AE82+AG82</f>
        <v>0</v>
      </c>
      <c r="G82" s="8">
        <f t="shared" ref="G82" si="55">E82/9</f>
        <v>90</v>
      </c>
    </row>
    <row r="85" spans="4:7">
      <c r="D85" s="7" t="str">
        <f t="shared" ref="D85" si="56">IFERROR(CONCATENATE(B85," ",C85),"")</f>
        <v xml:space="preserve"> </v>
      </c>
      <c r="E85" t="s">
        <v>102</v>
      </c>
      <c r="F85" t="s">
        <v>103</v>
      </c>
      <c r="G85" t="s">
        <v>104</v>
      </c>
    </row>
    <row r="86" spans="4:7">
      <c r="E86" s="5">
        <v>810</v>
      </c>
      <c r="F86" s="5">
        <f t="shared" ref="F86" si="57">L86+N86+P86+R86+T86+V86+X86+Z86+AB86+AE86+AG86</f>
        <v>0</v>
      </c>
      <c r="G86" s="8">
        <f t="shared" ref="G86" si="58">E86/9</f>
        <v>90</v>
      </c>
    </row>
    <row r="89" spans="4:7">
      <c r="D89" s="7" t="str">
        <f t="shared" ref="D89" si="59">IFERROR(CONCATENATE(B89," ",C89),"")</f>
        <v xml:space="preserve"> </v>
      </c>
      <c r="E89" t="s">
        <v>102</v>
      </c>
      <c r="F89" t="s">
        <v>103</v>
      </c>
      <c r="G89" t="s">
        <v>104</v>
      </c>
    </row>
    <row r="90" spans="4:7">
      <c r="E90" s="5">
        <v>810</v>
      </c>
      <c r="F90" s="5">
        <f t="shared" ref="F90" si="60">L90+N90+P90+R90+T90+V90+X90+Z90+AB90+AE90+AG90</f>
        <v>0</v>
      </c>
      <c r="G90" s="8">
        <f t="shared" ref="G90" si="61">E90/9</f>
        <v>90</v>
      </c>
    </row>
    <row r="93" spans="4:7">
      <c r="D93" s="7" t="str">
        <f t="shared" ref="D93" si="62">IFERROR(CONCATENATE(B93," ",C93),"")</f>
        <v xml:space="preserve"> </v>
      </c>
      <c r="E93" t="s">
        <v>102</v>
      </c>
      <c r="F93" t="s">
        <v>103</v>
      </c>
      <c r="G93" t="s">
        <v>104</v>
      </c>
    </row>
    <row r="94" spans="4:7">
      <c r="E94" s="5">
        <v>810</v>
      </c>
      <c r="F94" s="5">
        <f t="shared" ref="F94" si="63">L94+N94+P94+R94+T94+V94+X94+Z94+AB94+AE94+AG94</f>
        <v>0</v>
      </c>
      <c r="G94" s="8">
        <f t="shared" ref="G94" si="64">E94/9</f>
        <v>90</v>
      </c>
    </row>
    <row r="97" spans="4:7">
      <c r="D97" s="7" t="str">
        <f t="shared" ref="D97" si="65">IFERROR(CONCATENATE(B97," ",C97),"")</f>
        <v xml:space="preserve"> </v>
      </c>
      <c r="E97" t="s">
        <v>102</v>
      </c>
      <c r="F97" t="s">
        <v>103</v>
      </c>
      <c r="G97" t="s">
        <v>104</v>
      </c>
    </row>
    <row r="98" spans="4:7">
      <c r="E98" s="5">
        <v>810</v>
      </c>
      <c r="F98" s="5">
        <f t="shared" ref="F98" si="66">L98+N98+P98+R98+T98+V98+X98+Z98+AB98+AE98+AG98</f>
        <v>0</v>
      </c>
      <c r="G98" s="8">
        <f t="shared" ref="G98" si="67">E98/9</f>
        <v>90</v>
      </c>
    </row>
    <row r="101" spans="4:7">
      <c r="D101" s="7" t="str">
        <f t="shared" ref="D101" si="68">IFERROR(CONCATENATE(B101," ",C101),"")</f>
        <v xml:space="preserve"> </v>
      </c>
      <c r="E101" t="s">
        <v>102</v>
      </c>
      <c r="F101" t="s">
        <v>103</v>
      </c>
      <c r="G101" t="s">
        <v>104</v>
      </c>
    </row>
    <row r="102" spans="4:7">
      <c r="E102" s="5">
        <v>810</v>
      </c>
      <c r="F102" s="5">
        <f t="shared" ref="F102" si="69">L102+N102+P102+R102+T102+V102+X102+Z102+AB102+AE102+AG102</f>
        <v>0</v>
      </c>
      <c r="G102" s="8">
        <f t="shared" ref="G102" si="70">E102/9</f>
        <v>90</v>
      </c>
    </row>
    <row r="105" spans="4:7">
      <c r="D105" s="7" t="str">
        <f t="shared" ref="D105" si="71">IFERROR(CONCATENATE(B105," ",C105),"")</f>
        <v xml:space="preserve"> </v>
      </c>
      <c r="E105" t="s">
        <v>102</v>
      </c>
      <c r="F105" t="s">
        <v>103</v>
      </c>
      <c r="G105" t="s">
        <v>104</v>
      </c>
    </row>
    <row r="106" spans="4:7">
      <c r="E106" s="5">
        <v>810</v>
      </c>
      <c r="F106" s="5">
        <f t="shared" ref="F106" si="72">L106+N106+P106+R106+T106+V106+X106+Z106+AB106+AE106+AG106</f>
        <v>0</v>
      </c>
      <c r="G106" s="8">
        <f t="shared" ref="G106" si="73">E106/9</f>
        <v>90</v>
      </c>
    </row>
    <row r="109" spans="4:7">
      <c r="D109" s="7" t="str">
        <f t="shared" ref="D109" si="74">IFERROR(CONCATENATE(B109," ",C109),"")</f>
        <v xml:space="preserve"> </v>
      </c>
      <c r="E109" t="s">
        <v>102</v>
      </c>
      <c r="F109" t="s">
        <v>103</v>
      </c>
      <c r="G109" t="s">
        <v>104</v>
      </c>
    </row>
    <row r="110" spans="4:7">
      <c r="E110" s="5">
        <v>810</v>
      </c>
      <c r="F110" s="5">
        <f t="shared" ref="F110" si="75">L110+N110+P110+R110+T110+V110+X110+Z110+AB110+AE110+AG110</f>
        <v>0</v>
      </c>
      <c r="G110" s="8">
        <f t="shared" ref="G110" si="76">E110/9</f>
        <v>90</v>
      </c>
    </row>
    <row r="113" spans="4:7">
      <c r="D113" s="7" t="str">
        <f t="shared" ref="D113" si="77">IFERROR(CONCATENATE(B113," ",C113),"")</f>
        <v xml:space="preserve"> </v>
      </c>
      <c r="E113" t="s">
        <v>102</v>
      </c>
      <c r="F113" t="s">
        <v>103</v>
      </c>
      <c r="G113" t="s">
        <v>104</v>
      </c>
    </row>
    <row r="114" spans="4:7">
      <c r="E114" s="5">
        <v>810</v>
      </c>
      <c r="F114" s="5">
        <f t="shared" ref="F114" si="78">L114+N114+P114+R114+T114+V114+X114+Z114+AB114+AE114+AG114</f>
        <v>0</v>
      </c>
      <c r="G114" s="8">
        <f t="shared" ref="G114" si="79">E114/9</f>
        <v>90</v>
      </c>
    </row>
    <row r="117" spans="4:7">
      <c r="D117" s="7" t="str">
        <f t="shared" ref="D117" si="80">IFERROR(CONCATENATE(B117," ",C117),"")</f>
        <v xml:space="preserve"> </v>
      </c>
      <c r="E117" t="s">
        <v>102</v>
      </c>
      <c r="F117" t="s">
        <v>103</v>
      </c>
      <c r="G117" t="s">
        <v>104</v>
      </c>
    </row>
    <row r="118" spans="4:7">
      <c r="E118" s="5">
        <v>810</v>
      </c>
      <c r="F118" s="5">
        <f t="shared" ref="F118" si="81">L118+N118+P118+R118+T118+V118+X118+Z118+AB118+AE118+AG118</f>
        <v>0</v>
      </c>
      <c r="G118" s="8">
        <f t="shared" ref="G118" si="82">E118/9</f>
        <v>90</v>
      </c>
    </row>
    <row r="121" spans="4:7">
      <c r="D121" s="7" t="str">
        <f t="shared" ref="D121" si="83">IFERROR(CONCATENATE(B121," ",C121),"")</f>
        <v xml:space="preserve"> </v>
      </c>
      <c r="E121" t="s">
        <v>102</v>
      </c>
      <c r="F121" t="s">
        <v>103</v>
      </c>
      <c r="G121" t="s">
        <v>104</v>
      </c>
    </row>
    <row r="122" spans="4:7">
      <c r="E122" s="5">
        <v>810</v>
      </c>
      <c r="F122" s="5">
        <f t="shared" ref="F122" si="84">L122+N122+P122+R122+T122+V122+X122+Z122+AB122+AE122+AG122</f>
        <v>0</v>
      </c>
      <c r="G122" s="8">
        <f t="shared" ref="G122" si="85">E122/9</f>
        <v>90</v>
      </c>
    </row>
    <row r="125" spans="4:7">
      <c r="D125" s="7" t="str">
        <f t="shared" ref="D125" si="86">IFERROR(CONCATENATE(B125," ",C125),"")</f>
        <v xml:space="preserve"> </v>
      </c>
      <c r="E125" t="s">
        <v>102</v>
      </c>
      <c r="F125" t="s">
        <v>103</v>
      </c>
      <c r="G125" t="s">
        <v>104</v>
      </c>
    </row>
    <row r="126" spans="4:7">
      <c r="E126" s="5">
        <v>810</v>
      </c>
      <c r="F126" s="5">
        <f t="shared" ref="F126" si="87">L126+N126+P126+R126+T126+V126+X126+Z126+AB126+AE126+AG126</f>
        <v>0</v>
      </c>
      <c r="G126" s="8">
        <f t="shared" ref="G126" si="88">E126/9</f>
        <v>90</v>
      </c>
    </row>
    <row r="129" spans="4:7">
      <c r="D129" s="7" t="str">
        <f t="shared" ref="D129" si="89">IFERROR(CONCATENATE(B129," ",C129),"")</f>
        <v xml:space="preserve"> </v>
      </c>
      <c r="E129" t="s">
        <v>102</v>
      </c>
      <c r="F129" t="s">
        <v>103</v>
      </c>
      <c r="G129" t="s">
        <v>104</v>
      </c>
    </row>
    <row r="130" spans="4:7">
      <c r="E130" s="5">
        <v>810</v>
      </c>
      <c r="F130" s="5">
        <f t="shared" ref="F130" si="90">L130+N130+P130+R130+T130+V130+X130+Z130+AB130+AE130+AG130</f>
        <v>0</v>
      </c>
      <c r="G130" s="8">
        <f t="shared" ref="G130" si="91">E130/9</f>
        <v>90</v>
      </c>
    </row>
    <row r="133" spans="4:7">
      <c r="D133" s="7" t="str">
        <f t="shared" ref="D133" si="92">IFERROR(CONCATENATE(B133," ",C133),"")</f>
        <v xml:space="preserve"> </v>
      </c>
      <c r="E133" t="s">
        <v>102</v>
      </c>
      <c r="F133" t="s">
        <v>103</v>
      </c>
      <c r="G133" t="s">
        <v>104</v>
      </c>
    </row>
    <row r="134" spans="4:7">
      <c r="E134" s="5">
        <v>810</v>
      </c>
      <c r="F134" s="5">
        <f t="shared" ref="F134" si="93">L134+N134+P134+R134+T134+V134+X134+Z134+AB134+AE134+AG134</f>
        <v>0</v>
      </c>
      <c r="G134" s="8">
        <f t="shared" ref="G134" si="94">E134/9</f>
        <v>90</v>
      </c>
    </row>
    <row r="137" spans="4:7">
      <c r="D137" s="7" t="str">
        <f t="shared" ref="D137" si="95">IFERROR(CONCATENATE(B137," ",C137),"")</f>
        <v xml:space="preserve"> </v>
      </c>
      <c r="E137" t="s">
        <v>102</v>
      </c>
      <c r="F137" t="s">
        <v>103</v>
      </c>
      <c r="G137" t="s">
        <v>104</v>
      </c>
    </row>
    <row r="138" spans="4:7">
      <c r="E138" s="5">
        <v>810</v>
      </c>
      <c r="F138" s="5">
        <f t="shared" ref="F138" si="96">L138+N138+P138+R138+T138+V138+X138+Z138+AB138+AE138+AG138</f>
        <v>0</v>
      </c>
      <c r="G138" s="8">
        <f t="shared" ref="G138" si="97">E138/9</f>
        <v>90</v>
      </c>
    </row>
    <row r="141" spans="4:7">
      <c r="D141" s="7" t="str">
        <f t="shared" ref="D141" si="98">IFERROR(CONCATENATE(B141," ",C141),"")</f>
        <v xml:space="preserve"> </v>
      </c>
      <c r="E141" t="s">
        <v>102</v>
      </c>
      <c r="F141" t="s">
        <v>103</v>
      </c>
      <c r="G141" t="s">
        <v>104</v>
      </c>
    </row>
    <row r="142" spans="4:7">
      <c r="E142" s="5">
        <v>810</v>
      </c>
      <c r="F142" s="5">
        <f t="shared" ref="F142" si="99">L142+N142+P142+R142+T142+V142+X142+Z142+AB142+AE142+AG142</f>
        <v>0</v>
      </c>
      <c r="G142" s="8">
        <f t="shared" ref="G142" si="100">E142/9</f>
        <v>90</v>
      </c>
    </row>
    <row r="145" spans="4:7">
      <c r="D145" s="7" t="str">
        <f t="shared" ref="D145" si="101">IFERROR(CONCATENATE(B145," ",C145),"")</f>
        <v xml:space="preserve"> </v>
      </c>
      <c r="E145" t="s">
        <v>102</v>
      </c>
      <c r="F145" t="s">
        <v>103</v>
      </c>
      <c r="G145" t="s">
        <v>104</v>
      </c>
    </row>
    <row r="146" spans="4:7">
      <c r="E146" s="5">
        <v>810</v>
      </c>
      <c r="F146" s="5">
        <f t="shared" ref="F146" si="102">L146+N146+P146+R146+T146+V146+X146+Z146+AB146+AE146+AG146</f>
        <v>0</v>
      </c>
      <c r="G146" s="8">
        <f t="shared" ref="G146" si="103">E146/9</f>
        <v>90</v>
      </c>
    </row>
    <row r="149" spans="4:7">
      <c r="D149" s="7" t="str">
        <f t="shared" ref="D149" si="104">IFERROR(CONCATENATE(B149," ",C149),"")</f>
        <v xml:space="preserve"> </v>
      </c>
      <c r="E149" t="s">
        <v>102</v>
      </c>
      <c r="F149" t="s">
        <v>103</v>
      </c>
      <c r="G149" t="s">
        <v>104</v>
      </c>
    </row>
    <row r="150" spans="4:7">
      <c r="E150" s="5">
        <v>810</v>
      </c>
      <c r="F150" s="5">
        <f t="shared" ref="F150" si="105">L150+N150+P150+R150+T150+V150+X150+Z150+AB150+AE150+AG150</f>
        <v>0</v>
      </c>
      <c r="G150" s="8">
        <f t="shared" ref="G150" si="106">E150/9</f>
        <v>90</v>
      </c>
    </row>
    <row r="153" spans="4:7">
      <c r="D153" s="7" t="str">
        <f t="shared" ref="D153" si="107">IFERROR(CONCATENATE(B153," ",C153),"")</f>
        <v xml:space="preserve"> </v>
      </c>
      <c r="E153" t="s">
        <v>102</v>
      </c>
      <c r="F153" t="s">
        <v>103</v>
      </c>
      <c r="G153" t="s">
        <v>104</v>
      </c>
    </row>
    <row r="154" spans="4:7">
      <c r="E154" s="5">
        <v>810</v>
      </c>
      <c r="F154" s="5">
        <f t="shared" ref="F154" si="108">L154+N154+P154+R154+T154+V154+X154+Z154+AB154+AE154+AG154</f>
        <v>0</v>
      </c>
      <c r="G154" s="8">
        <f t="shared" ref="G154" si="109">E154/9</f>
        <v>90</v>
      </c>
    </row>
    <row r="157" spans="4:7">
      <c r="D157" s="7" t="str">
        <f t="shared" ref="D157" si="110">IFERROR(CONCATENATE(B157," ",C157),"")</f>
        <v xml:space="preserve"> </v>
      </c>
      <c r="E157" t="s">
        <v>102</v>
      </c>
      <c r="F157" t="s">
        <v>103</v>
      </c>
      <c r="G157" t="s">
        <v>104</v>
      </c>
    </row>
    <row r="158" spans="4:7">
      <c r="E158" s="5">
        <v>810</v>
      </c>
      <c r="F158" s="5">
        <f t="shared" ref="F158" si="111">L158+N158+P158+R158+T158+V158+X158+Z158+AB158+AE158+AG158</f>
        <v>0</v>
      </c>
      <c r="G158" s="8">
        <f t="shared" ref="G158" si="112">E158/9</f>
        <v>90</v>
      </c>
    </row>
    <row r="161" spans="4:7">
      <c r="D161" s="7" t="str">
        <f t="shared" ref="D161" si="113">IFERROR(CONCATENATE(B161," ",C161),"")</f>
        <v xml:space="preserve"> </v>
      </c>
      <c r="E161" t="s">
        <v>102</v>
      </c>
      <c r="F161" t="s">
        <v>103</v>
      </c>
      <c r="G161" t="s">
        <v>104</v>
      </c>
    </row>
    <row r="162" spans="4:7">
      <c r="E162" s="5">
        <v>810</v>
      </c>
      <c r="F162" s="5">
        <f t="shared" ref="F162" si="114">L162+N162+P162+R162+T162+V162+X162+Z162+AB162+AE162+AG162</f>
        <v>0</v>
      </c>
      <c r="G162" s="8">
        <f t="shared" ref="G162" si="115">E162/9</f>
        <v>90</v>
      </c>
    </row>
    <row r="165" spans="4:7">
      <c r="D165" s="7" t="str">
        <f t="shared" ref="D165" si="116">IFERROR(CONCATENATE(B165," ",C165),"")</f>
        <v xml:space="preserve"> </v>
      </c>
      <c r="E165" t="s">
        <v>102</v>
      </c>
      <c r="F165" t="s">
        <v>103</v>
      </c>
      <c r="G165" t="s">
        <v>104</v>
      </c>
    </row>
    <row r="166" spans="4:7">
      <c r="E166" s="5">
        <v>810</v>
      </c>
      <c r="F166" s="5">
        <f t="shared" ref="F166" si="117">L166+N166+P166+R166+T166+V166+X166+Z166+AB166+AE166+AG166</f>
        <v>0</v>
      </c>
      <c r="G166" s="8">
        <f t="shared" ref="G166" si="118">E166/9</f>
        <v>90</v>
      </c>
    </row>
    <row r="169" spans="4:7">
      <c r="D169" s="7" t="str">
        <f t="shared" ref="D169" si="119">IFERROR(CONCATENATE(B169," ",C169),"")</f>
        <v xml:space="preserve"> </v>
      </c>
      <c r="E169" t="s">
        <v>102</v>
      </c>
      <c r="F169" t="s">
        <v>103</v>
      </c>
      <c r="G169" t="s">
        <v>104</v>
      </c>
    </row>
    <row r="170" spans="4:7">
      <c r="E170" s="5">
        <v>810</v>
      </c>
      <c r="F170" s="5">
        <f t="shared" ref="F170" si="120">L170+N170+P170+R170+T170+V170+X170+Z170+AB170+AE170+AG170</f>
        <v>0</v>
      </c>
      <c r="G170" s="8">
        <f t="shared" ref="G170" si="121">E170/9</f>
        <v>90</v>
      </c>
    </row>
    <row r="173" spans="4:7">
      <c r="D173" s="7" t="str">
        <f t="shared" ref="D173" si="122">IFERROR(CONCATENATE(B173," ",C173),"")</f>
        <v xml:space="preserve"> </v>
      </c>
      <c r="E173" t="s">
        <v>102</v>
      </c>
      <c r="F173" t="s">
        <v>103</v>
      </c>
      <c r="G173" t="s">
        <v>104</v>
      </c>
    </row>
    <row r="174" spans="4:7">
      <c r="E174" s="5">
        <v>810</v>
      </c>
      <c r="F174" s="5">
        <f t="shared" ref="F174" si="123">L174+N174+P174+R174+T174+V174+X174+Z174+AB174+AE174+AG174</f>
        <v>0</v>
      </c>
      <c r="G174" s="8">
        <f t="shared" ref="G174" si="124">E174/9</f>
        <v>90</v>
      </c>
    </row>
  </sheetData>
  <mergeCells count="2">
    <mergeCell ref="J3:K3"/>
    <mergeCell ref="K1:U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174"/>
  <sheetViews>
    <sheetView workbookViewId="0">
      <selection activeCell="J3" sqref="J3"/>
    </sheetView>
  </sheetViews>
  <sheetFormatPr defaultColWidth="8.69921875" defaultRowHeight="13.8"/>
  <cols>
    <col min="1" max="1" width="8.69921875" style="16"/>
    <col min="2" max="5" width="8.69921875" style="17"/>
    <col min="6" max="6" width="8.69921875" style="17" customWidth="1"/>
    <col min="7" max="9" width="8.69921875" style="17"/>
    <col min="10" max="11" width="8.69921875" style="17" customWidth="1"/>
    <col min="12" max="16384" width="8.69921875" style="17"/>
  </cols>
  <sheetData>
    <row r="1" spans="4:21" s="16" customFormat="1" ht="18.45" customHeight="1">
      <c r="F1" s="18"/>
      <c r="K1" s="35" t="s">
        <v>67</v>
      </c>
      <c r="L1" s="35"/>
      <c r="M1" s="35"/>
      <c r="N1" s="35"/>
      <c r="O1" s="35"/>
      <c r="P1" s="35"/>
      <c r="Q1" s="35"/>
      <c r="R1" s="35"/>
      <c r="S1" s="35"/>
      <c r="T1" s="35"/>
      <c r="U1" s="35"/>
    </row>
    <row r="2" spans="4:21" s="16" customFormat="1" ht="18.45" customHeight="1">
      <c r="F2" s="19"/>
      <c r="K2" s="36" t="s">
        <v>68</v>
      </c>
      <c r="L2" s="37"/>
      <c r="M2" s="37"/>
      <c r="N2" s="37"/>
      <c r="O2" s="37"/>
      <c r="P2" s="37"/>
      <c r="Q2" s="37"/>
      <c r="R2" s="37"/>
      <c r="S2" s="37"/>
      <c r="T2" s="37"/>
      <c r="U2" s="37"/>
    </row>
    <row r="3" spans="4:21" s="16" customFormat="1">
      <c r="F3" s="20"/>
      <c r="I3" s="22" t="s">
        <v>66</v>
      </c>
      <c r="J3" s="22"/>
    </row>
    <row r="4" spans="4:21" s="16" customFormat="1">
      <c r="F4" s="21"/>
    </row>
    <row r="5" spans="4:21" ht="26.4">
      <c r="D5" s="7" t="s">
        <v>93</v>
      </c>
      <c r="E5" s="17" t="s">
        <v>102</v>
      </c>
      <c r="F5" s="17" t="s">
        <v>103</v>
      </c>
      <c r="G5" s="17" t="s">
        <v>104</v>
      </c>
    </row>
    <row r="6" spans="4:21">
      <c r="E6" s="5">
        <v>605</v>
      </c>
      <c r="F6" s="5">
        <v>171</v>
      </c>
      <c r="G6" s="8">
        <v>67</v>
      </c>
    </row>
    <row r="9" spans="4:21" ht="26.4">
      <c r="D9" s="7" t="s">
        <v>94</v>
      </c>
      <c r="E9" s="17" t="s">
        <v>102</v>
      </c>
      <c r="F9" s="17" t="s">
        <v>103</v>
      </c>
      <c r="G9" s="17" t="s">
        <v>104</v>
      </c>
    </row>
    <row r="10" spans="4:21">
      <c r="E10" s="5">
        <v>440</v>
      </c>
      <c r="F10" s="5">
        <v>90</v>
      </c>
      <c r="G10" s="8">
        <v>49</v>
      </c>
    </row>
    <row r="13" spans="4:21" ht="26.4">
      <c r="D13" s="7" t="s">
        <v>95</v>
      </c>
      <c r="E13" s="17" t="s">
        <v>102</v>
      </c>
      <c r="F13" s="17" t="s">
        <v>103</v>
      </c>
      <c r="G13" s="17" t="s">
        <v>104</v>
      </c>
    </row>
    <row r="14" spans="4:21">
      <c r="E14" s="5">
        <v>550</v>
      </c>
      <c r="F14" s="5">
        <v>148</v>
      </c>
      <c r="G14" s="8">
        <v>61</v>
      </c>
    </row>
    <row r="17" spans="4:7" ht="26.4">
      <c r="D17" s="7" t="s">
        <v>96</v>
      </c>
      <c r="E17" s="17" t="s">
        <v>102</v>
      </c>
      <c r="F17" s="17" t="s">
        <v>103</v>
      </c>
      <c r="G17" s="17" t="s">
        <v>104</v>
      </c>
    </row>
    <row r="18" spans="4:7">
      <c r="E18" s="5">
        <v>495</v>
      </c>
      <c r="F18" s="5">
        <v>277</v>
      </c>
      <c r="G18" s="8">
        <v>55</v>
      </c>
    </row>
    <row r="21" spans="4:7" ht="26.4">
      <c r="D21" s="7" t="s">
        <v>97</v>
      </c>
      <c r="E21" s="17" t="s">
        <v>102</v>
      </c>
      <c r="F21" s="17" t="s">
        <v>103</v>
      </c>
      <c r="G21" s="17" t="s">
        <v>104</v>
      </c>
    </row>
    <row r="22" spans="4:7">
      <c r="E22" s="5">
        <v>416</v>
      </c>
      <c r="F22" s="5">
        <v>0</v>
      </c>
      <c r="G22" s="8">
        <v>46</v>
      </c>
    </row>
    <row r="25" spans="4:7" ht="26.4">
      <c r="D25" s="7" t="s">
        <v>98</v>
      </c>
      <c r="E25" s="17" t="s">
        <v>102</v>
      </c>
      <c r="F25" s="17" t="s">
        <v>103</v>
      </c>
      <c r="G25" s="17" t="s">
        <v>104</v>
      </c>
    </row>
    <row r="26" spans="4:7">
      <c r="E26" s="5">
        <v>448</v>
      </c>
      <c r="F26" s="5">
        <v>160</v>
      </c>
      <c r="G26" s="8">
        <v>50</v>
      </c>
    </row>
    <row r="29" spans="4:7" ht="26.4">
      <c r="D29" s="7" t="s">
        <v>99</v>
      </c>
      <c r="E29" s="17" t="s">
        <v>102</v>
      </c>
      <c r="F29" s="17" t="s">
        <v>103</v>
      </c>
      <c r="G29" s="17" t="s">
        <v>104</v>
      </c>
    </row>
    <row r="30" spans="4:7">
      <c r="E30" s="5">
        <v>244</v>
      </c>
      <c r="F30" s="5">
        <v>79</v>
      </c>
      <c r="G30" s="8">
        <v>27</v>
      </c>
    </row>
    <row r="33" spans="4:7" ht="26.4">
      <c r="D33" s="7" t="s">
        <v>100</v>
      </c>
      <c r="E33" s="17" t="s">
        <v>102</v>
      </c>
      <c r="F33" s="17" t="s">
        <v>103</v>
      </c>
      <c r="G33" s="17" t="s">
        <v>104</v>
      </c>
    </row>
    <row r="34" spans="4:7">
      <c r="E34" s="5">
        <v>121</v>
      </c>
      <c r="F34" s="5">
        <v>0</v>
      </c>
      <c r="G34" s="8">
        <v>13</v>
      </c>
    </row>
    <row r="37" spans="4:7" ht="26.4">
      <c r="D37" s="7" t="s">
        <v>101</v>
      </c>
      <c r="E37" s="17" t="s">
        <v>102</v>
      </c>
      <c r="F37" s="17" t="s">
        <v>103</v>
      </c>
      <c r="G37" s="17" t="s">
        <v>104</v>
      </c>
    </row>
    <row r="38" spans="4:7">
      <c r="E38" s="5">
        <v>586</v>
      </c>
      <c r="F38" s="5">
        <v>284</v>
      </c>
      <c r="G38" s="8">
        <v>65</v>
      </c>
    </row>
    <row r="41" spans="4:7" ht="26.4">
      <c r="D41" s="7" t="s">
        <v>69</v>
      </c>
      <c r="E41" s="17" t="s">
        <v>102</v>
      </c>
      <c r="F41" s="17" t="s">
        <v>103</v>
      </c>
      <c r="G41" s="17" t="s">
        <v>104</v>
      </c>
    </row>
    <row r="42" spans="4:7">
      <c r="E42" s="5">
        <v>240</v>
      </c>
      <c r="F42" s="5">
        <v>55</v>
      </c>
      <c r="G42" s="8">
        <v>27</v>
      </c>
    </row>
    <row r="45" spans="4:7" ht="26.4">
      <c r="D45" s="7" t="s">
        <v>70</v>
      </c>
      <c r="E45" s="17" t="s">
        <v>102</v>
      </c>
      <c r="F45" s="17" t="s">
        <v>103</v>
      </c>
      <c r="G45" s="17" t="s">
        <v>104</v>
      </c>
    </row>
    <row r="46" spans="4:7">
      <c r="E46" s="5">
        <v>640</v>
      </c>
      <c r="F46" s="5">
        <v>64</v>
      </c>
      <c r="G46" s="8">
        <v>71</v>
      </c>
    </row>
    <row r="49" spans="4:7" ht="26.4">
      <c r="D49" s="7" t="s">
        <v>71</v>
      </c>
      <c r="E49" s="17" t="s">
        <v>102</v>
      </c>
      <c r="F49" s="17" t="s">
        <v>103</v>
      </c>
      <c r="G49" s="17" t="s">
        <v>104</v>
      </c>
    </row>
    <row r="50" spans="4:7">
      <c r="E50" s="5">
        <v>810</v>
      </c>
      <c r="F50" s="5">
        <v>250</v>
      </c>
      <c r="G50" s="8">
        <v>90</v>
      </c>
    </row>
    <row r="53" spans="4:7" ht="26.4">
      <c r="D53" s="7" t="s">
        <v>72</v>
      </c>
      <c r="E53" s="17" t="s">
        <v>102</v>
      </c>
      <c r="F53" s="17" t="s">
        <v>103</v>
      </c>
      <c r="G53" s="17" t="s">
        <v>104</v>
      </c>
    </row>
    <row r="54" spans="4:7">
      <c r="E54" s="5">
        <v>810</v>
      </c>
      <c r="F54" s="5">
        <v>156</v>
      </c>
      <c r="G54" s="8">
        <v>90</v>
      </c>
    </row>
    <row r="57" spans="4:7" ht="26.4">
      <c r="D57" s="7" t="s">
        <v>73</v>
      </c>
      <c r="E57" s="17" t="s">
        <v>102</v>
      </c>
      <c r="F57" s="17" t="s">
        <v>103</v>
      </c>
      <c r="G57" s="17" t="s">
        <v>104</v>
      </c>
    </row>
    <row r="58" spans="4:7">
      <c r="E58" s="5">
        <v>810</v>
      </c>
      <c r="F58" s="5">
        <v>100</v>
      </c>
      <c r="G58" s="8">
        <v>90</v>
      </c>
    </row>
    <row r="61" spans="4:7" ht="26.4">
      <c r="D61" s="7" t="s">
        <v>74</v>
      </c>
      <c r="E61" s="17" t="s">
        <v>102</v>
      </c>
      <c r="F61" s="17" t="s">
        <v>103</v>
      </c>
      <c r="G61" s="17" t="s">
        <v>104</v>
      </c>
    </row>
    <row r="62" spans="4:7">
      <c r="E62" s="5">
        <v>810</v>
      </c>
      <c r="F62" s="5">
        <v>204</v>
      </c>
      <c r="G62" s="8">
        <v>90</v>
      </c>
    </row>
    <row r="65" spans="4:7" ht="26.4">
      <c r="D65" s="7" t="s">
        <v>75</v>
      </c>
      <c r="E65" s="17" t="s">
        <v>102</v>
      </c>
      <c r="F65" s="17" t="s">
        <v>103</v>
      </c>
      <c r="G65" s="17" t="s">
        <v>104</v>
      </c>
    </row>
    <row r="66" spans="4:7">
      <c r="E66" s="5">
        <v>810</v>
      </c>
      <c r="F66" s="5">
        <v>300</v>
      </c>
      <c r="G66" s="8">
        <v>90</v>
      </c>
    </row>
    <row r="69" spans="4:7" ht="26.4">
      <c r="D69" s="7" t="s">
        <v>76</v>
      </c>
      <c r="E69" s="17" t="s">
        <v>102</v>
      </c>
      <c r="F69" s="17" t="s">
        <v>103</v>
      </c>
      <c r="G69" s="17" t="s">
        <v>104</v>
      </c>
    </row>
    <row r="70" spans="4:7">
      <c r="E70" s="5">
        <v>810</v>
      </c>
      <c r="F70" s="5">
        <v>372</v>
      </c>
      <c r="G70" s="8">
        <v>90</v>
      </c>
    </row>
    <row r="73" spans="4:7" ht="26.4">
      <c r="D73" s="7" t="s">
        <v>77</v>
      </c>
      <c r="E73" s="17" t="s">
        <v>102</v>
      </c>
      <c r="F73" s="17" t="s">
        <v>103</v>
      </c>
      <c r="G73" s="17" t="s">
        <v>104</v>
      </c>
    </row>
    <row r="74" spans="4:7">
      <c r="E74" s="5">
        <v>810</v>
      </c>
      <c r="F74" s="5">
        <v>133</v>
      </c>
      <c r="G74" s="8">
        <v>90</v>
      </c>
    </row>
    <row r="77" spans="4:7" ht="26.4">
      <c r="D77" s="7" t="s">
        <v>78</v>
      </c>
      <c r="E77" s="17" t="s">
        <v>102</v>
      </c>
      <c r="F77" s="17" t="s">
        <v>103</v>
      </c>
      <c r="G77" s="17" t="s">
        <v>104</v>
      </c>
    </row>
    <row r="78" spans="4:7">
      <c r="E78" s="5">
        <v>810</v>
      </c>
      <c r="F78" s="5">
        <v>300</v>
      </c>
      <c r="G78" s="8">
        <v>90</v>
      </c>
    </row>
    <row r="81" spans="4:7" ht="26.4">
      <c r="D81" s="7" t="s">
        <v>79</v>
      </c>
      <c r="E81" s="17" t="s">
        <v>102</v>
      </c>
      <c r="F81" s="17" t="s">
        <v>103</v>
      </c>
      <c r="G81" s="17" t="s">
        <v>104</v>
      </c>
    </row>
    <row r="82" spans="4:7">
      <c r="E82" s="5">
        <v>810</v>
      </c>
      <c r="F82" s="5">
        <v>100</v>
      </c>
      <c r="G82" s="8">
        <v>90</v>
      </c>
    </row>
    <row r="85" spans="4:7">
      <c r="D85" s="7" t="s">
        <v>80</v>
      </c>
      <c r="E85" s="17" t="s">
        <v>102</v>
      </c>
      <c r="F85" s="17" t="s">
        <v>103</v>
      </c>
      <c r="G85" s="17" t="s">
        <v>104</v>
      </c>
    </row>
    <row r="86" spans="4:7">
      <c r="E86" s="5">
        <v>810</v>
      </c>
      <c r="F86" s="5">
        <v>200</v>
      </c>
      <c r="G86" s="8">
        <v>90</v>
      </c>
    </row>
    <row r="89" spans="4:7">
      <c r="D89" s="7" t="s">
        <v>81</v>
      </c>
      <c r="E89" s="17" t="s">
        <v>102</v>
      </c>
      <c r="F89" s="17" t="s">
        <v>103</v>
      </c>
      <c r="G89" s="17" t="s">
        <v>104</v>
      </c>
    </row>
    <row r="90" spans="4:7">
      <c r="E90" s="5">
        <v>810</v>
      </c>
      <c r="F90" s="5">
        <v>450</v>
      </c>
      <c r="G90" s="8">
        <v>90</v>
      </c>
    </row>
    <row r="93" spans="4:7">
      <c r="D93" s="7" t="s">
        <v>82</v>
      </c>
      <c r="E93" s="17" t="s">
        <v>102</v>
      </c>
      <c r="F93" s="17" t="s">
        <v>103</v>
      </c>
      <c r="G93" s="17" t="s">
        <v>104</v>
      </c>
    </row>
    <row r="94" spans="4:7">
      <c r="E94" s="5">
        <v>810</v>
      </c>
      <c r="F94" s="5">
        <v>850</v>
      </c>
      <c r="G94" s="8">
        <v>90</v>
      </c>
    </row>
    <row r="97" spans="4:7">
      <c r="D97" s="7" t="s">
        <v>83</v>
      </c>
      <c r="E97" s="17" t="s">
        <v>102</v>
      </c>
      <c r="F97" s="17" t="s">
        <v>103</v>
      </c>
      <c r="G97" s="17" t="s">
        <v>104</v>
      </c>
    </row>
    <row r="98" spans="4:7">
      <c r="E98" s="5">
        <v>810</v>
      </c>
      <c r="F98" s="5">
        <v>300</v>
      </c>
      <c r="G98" s="8">
        <v>90</v>
      </c>
    </row>
    <row r="101" spans="4:7">
      <c r="D101" s="7" t="s">
        <v>84</v>
      </c>
      <c r="E101" s="17" t="s">
        <v>102</v>
      </c>
      <c r="F101" s="17" t="s">
        <v>103</v>
      </c>
      <c r="G101" s="17" t="s">
        <v>104</v>
      </c>
    </row>
    <row r="102" spans="4:7">
      <c r="E102" s="5">
        <v>810</v>
      </c>
      <c r="F102" s="5">
        <v>200</v>
      </c>
      <c r="G102" s="8">
        <v>90</v>
      </c>
    </row>
    <row r="105" spans="4:7">
      <c r="D105" s="7" t="s">
        <v>85</v>
      </c>
      <c r="E105" s="17" t="s">
        <v>102</v>
      </c>
      <c r="F105" s="17" t="s">
        <v>103</v>
      </c>
      <c r="G105" s="17" t="s">
        <v>104</v>
      </c>
    </row>
    <row r="106" spans="4:7">
      <c r="E106" s="5">
        <v>810</v>
      </c>
      <c r="F106" s="5">
        <v>200</v>
      </c>
      <c r="G106" s="8">
        <v>90</v>
      </c>
    </row>
    <row r="109" spans="4:7">
      <c r="D109" s="7" t="s">
        <v>86</v>
      </c>
      <c r="E109" s="17" t="s">
        <v>102</v>
      </c>
      <c r="F109" s="17" t="s">
        <v>103</v>
      </c>
      <c r="G109" s="17" t="s">
        <v>104</v>
      </c>
    </row>
    <row r="110" spans="4:7">
      <c r="E110" s="5">
        <v>810</v>
      </c>
      <c r="F110" s="5">
        <v>400</v>
      </c>
      <c r="G110" s="8">
        <v>90</v>
      </c>
    </row>
    <row r="113" spans="4:7">
      <c r="D113" s="7" t="s">
        <v>87</v>
      </c>
      <c r="E113" s="17" t="s">
        <v>102</v>
      </c>
      <c r="F113" s="17" t="s">
        <v>103</v>
      </c>
      <c r="G113" s="17" t="s">
        <v>104</v>
      </c>
    </row>
    <row r="114" spans="4:7">
      <c r="E114" s="5">
        <v>810</v>
      </c>
      <c r="F114" s="5">
        <v>400</v>
      </c>
      <c r="G114" s="8">
        <v>90</v>
      </c>
    </row>
    <row r="117" spans="4:7">
      <c r="D117" s="7" t="s">
        <v>88</v>
      </c>
      <c r="E117" s="17" t="s">
        <v>102</v>
      </c>
      <c r="F117" s="17" t="s">
        <v>103</v>
      </c>
      <c r="G117" s="17" t="s">
        <v>104</v>
      </c>
    </row>
    <row r="118" spans="4:7">
      <c r="E118" s="5">
        <v>810</v>
      </c>
      <c r="F118" s="5">
        <v>300</v>
      </c>
      <c r="G118" s="8">
        <v>90</v>
      </c>
    </row>
    <row r="121" spans="4:7">
      <c r="D121" s="7" t="s">
        <v>89</v>
      </c>
      <c r="E121" s="17" t="s">
        <v>102</v>
      </c>
      <c r="F121" s="17" t="s">
        <v>103</v>
      </c>
      <c r="G121" s="17" t="s">
        <v>104</v>
      </c>
    </row>
    <row r="122" spans="4:7">
      <c r="E122" s="5">
        <v>810</v>
      </c>
      <c r="F122" s="5">
        <v>350</v>
      </c>
      <c r="G122" s="8">
        <v>90</v>
      </c>
    </row>
    <row r="125" spans="4:7">
      <c r="D125" s="7" t="s">
        <v>80</v>
      </c>
      <c r="E125" s="17" t="s">
        <v>102</v>
      </c>
      <c r="F125" s="17" t="s">
        <v>103</v>
      </c>
      <c r="G125" s="17" t="s">
        <v>104</v>
      </c>
    </row>
    <row r="126" spans="4:7">
      <c r="E126" s="5">
        <v>810</v>
      </c>
      <c r="F126" s="5">
        <v>100</v>
      </c>
      <c r="G126" s="8">
        <v>90</v>
      </c>
    </row>
    <row r="129" spans="4:7">
      <c r="D129" s="7" t="s">
        <v>81</v>
      </c>
      <c r="E129" s="17" t="s">
        <v>102</v>
      </c>
      <c r="F129" s="17" t="s">
        <v>103</v>
      </c>
      <c r="G129" s="17" t="s">
        <v>104</v>
      </c>
    </row>
    <row r="130" spans="4:7">
      <c r="E130" s="5">
        <v>810</v>
      </c>
      <c r="F130" s="5">
        <v>200</v>
      </c>
      <c r="G130" s="8">
        <v>90</v>
      </c>
    </row>
    <row r="133" spans="4:7">
      <c r="D133" s="7" t="s">
        <v>82</v>
      </c>
      <c r="E133" s="17" t="s">
        <v>102</v>
      </c>
      <c r="F133" s="17" t="s">
        <v>103</v>
      </c>
      <c r="G133" s="17" t="s">
        <v>104</v>
      </c>
    </row>
    <row r="134" spans="4:7">
      <c r="E134" s="5">
        <v>810</v>
      </c>
      <c r="F134" s="5">
        <v>100</v>
      </c>
      <c r="G134" s="8">
        <v>90</v>
      </c>
    </row>
    <row r="137" spans="4:7">
      <c r="D137" s="7" t="s">
        <v>83</v>
      </c>
      <c r="E137" s="17" t="s">
        <v>102</v>
      </c>
      <c r="F137" s="17" t="s">
        <v>103</v>
      </c>
      <c r="G137" s="17" t="s">
        <v>104</v>
      </c>
    </row>
    <row r="138" spans="4:7">
      <c r="E138" s="5">
        <v>810</v>
      </c>
      <c r="F138" s="5">
        <v>200</v>
      </c>
      <c r="G138" s="8">
        <v>90</v>
      </c>
    </row>
    <row r="141" spans="4:7">
      <c r="D141" s="7" t="s">
        <v>84</v>
      </c>
      <c r="E141" s="17" t="s">
        <v>102</v>
      </c>
      <c r="F141" s="17" t="s">
        <v>103</v>
      </c>
      <c r="G141" s="17" t="s">
        <v>104</v>
      </c>
    </row>
    <row r="142" spans="4:7">
      <c r="E142" s="5">
        <v>810</v>
      </c>
      <c r="F142" s="5">
        <v>165</v>
      </c>
      <c r="G142" s="8">
        <v>90</v>
      </c>
    </row>
    <row r="145" spans="4:7">
      <c r="D145" s="7" t="s">
        <v>85</v>
      </c>
      <c r="E145" s="17" t="s">
        <v>102</v>
      </c>
      <c r="F145" s="17" t="s">
        <v>103</v>
      </c>
      <c r="G145" s="17" t="s">
        <v>104</v>
      </c>
    </row>
    <row r="146" spans="4:7">
      <c r="E146" s="5">
        <v>810</v>
      </c>
      <c r="F146" s="5">
        <v>100</v>
      </c>
      <c r="G146" s="8">
        <v>90</v>
      </c>
    </row>
    <row r="149" spans="4:7">
      <c r="D149" s="7" t="s">
        <v>86</v>
      </c>
      <c r="E149" s="17" t="s">
        <v>102</v>
      </c>
      <c r="F149" s="17" t="s">
        <v>103</v>
      </c>
      <c r="G149" s="17" t="s">
        <v>104</v>
      </c>
    </row>
    <row r="150" spans="4:7">
      <c r="E150" s="5">
        <v>810</v>
      </c>
      <c r="F150" s="5">
        <v>200</v>
      </c>
      <c r="G150" s="8">
        <v>90</v>
      </c>
    </row>
    <row r="153" spans="4:7">
      <c r="D153" s="7" t="s">
        <v>87</v>
      </c>
      <c r="E153" s="17" t="s">
        <v>102</v>
      </c>
      <c r="F153" s="17" t="s">
        <v>103</v>
      </c>
      <c r="G153" s="17" t="s">
        <v>104</v>
      </c>
    </row>
    <row r="154" spans="4:7">
      <c r="E154" s="5">
        <v>810</v>
      </c>
      <c r="F154" s="5">
        <v>100</v>
      </c>
      <c r="G154" s="8">
        <v>90</v>
      </c>
    </row>
    <row r="157" spans="4:7">
      <c r="D157" s="7" t="s">
        <v>88</v>
      </c>
      <c r="E157" s="17" t="s">
        <v>102</v>
      </c>
      <c r="F157" s="17" t="s">
        <v>103</v>
      </c>
      <c r="G157" s="17" t="s">
        <v>104</v>
      </c>
    </row>
    <row r="158" spans="4:7">
      <c r="E158" s="5">
        <v>810</v>
      </c>
      <c r="F158" s="5">
        <v>200</v>
      </c>
      <c r="G158" s="8">
        <v>90</v>
      </c>
    </row>
    <row r="161" spans="4:7">
      <c r="D161" s="7" t="s">
        <v>89</v>
      </c>
      <c r="E161" s="17" t="s">
        <v>102</v>
      </c>
      <c r="F161" s="17" t="s">
        <v>103</v>
      </c>
      <c r="G161" s="17" t="s">
        <v>104</v>
      </c>
    </row>
    <row r="162" spans="4:7">
      <c r="E162" s="5">
        <v>810</v>
      </c>
      <c r="F162" s="5">
        <v>116</v>
      </c>
      <c r="G162" s="8">
        <v>90</v>
      </c>
    </row>
    <row r="165" spans="4:7" ht="26.4">
      <c r="D165" s="7" t="s">
        <v>90</v>
      </c>
      <c r="E165" s="17" t="s">
        <v>102</v>
      </c>
      <c r="F165" s="17" t="s">
        <v>103</v>
      </c>
      <c r="G165" s="17" t="s">
        <v>104</v>
      </c>
    </row>
    <row r="166" spans="4:7">
      <c r="E166" s="5">
        <v>810</v>
      </c>
      <c r="F166" s="5">
        <v>62</v>
      </c>
      <c r="G166" s="8">
        <v>90</v>
      </c>
    </row>
    <row r="169" spans="4:7" ht="26.4">
      <c r="D169" s="7" t="s">
        <v>91</v>
      </c>
      <c r="E169" s="17" t="s">
        <v>102</v>
      </c>
      <c r="F169" s="17" t="s">
        <v>103</v>
      </c>
      <c r="G169" s="17" t="s">
        <v>104</v>
      </c>
    </row>
    <row r="170" spans="4:7">
      <c r="E170" s="5">
        <v>810</v>
      </c>
      <c r="F170" s="5">
        <v>0</v>
      </c>
      <c r="G170" s="8">
        <v>90</v>
      </c>
    </row>
    <row r="173" spans="4:7" ht="26.4">
      <c r="D173" s="7" t="s">
        <v>92</v>
      </c>
      <c r="E173" s="17" t="s">
        <v>102</v>
      </c>
      <c r="F173" s="17" t="s">
        <v>103</v>
      </c>
      <c r="G173" s="17" t="s">
        <v>104</v>
      </c>
    </row>
    <row r="174" spans="4:7">
      <c r="E174" s="5">
        <v>810</v>
      </c>
      <c r="F174" s="5">
        <v>0</v>
      </c>
      <c r="G174" s="8">
        <v>90</v>
      </c>
    </row>
  </sheetData>
  <mergeCells count="2">
    <mergeCell ref="K1:U1"/>
    <mergeCell ref="K2:U2"/>
  </mergeCells>
  <conditionalFormatting sqref="D5">
    <cfRule type="duplicateValues" dxfId="42" priority="43"/>
  </conditionalFormatting>
  <conditionalFormatting sqref="D9">
    <cfRule type="duplicateValues" dxfId="41" priority="42"/>
  </conditionalFormatting>
  <conditionalFormatting sqref="D13">
    <cfRule type="duplicateValues" dxfId="40" priority="41"/>
  </conditionalFormatting>
  <conditionalFormatting sqref="D17">
    <cfRule type="duplicateValues" dxfId="39" priority="40"/>
  </conditionalFormatting>
  <conditionalFormatting sqref="D21">
    <cfRule type="duplicateValues" dxfId="38" priority="39"/>
  </conditionalFormatting>
  <conditionalFormatting sqref="D25">
    <cfRule type="duplicateValues" dxfId="37" priority="38"/>
  </conditionalFormatting>
  <conditionalFormatting sqref="D29">
    <cfRule type="duplicateValues" dxfId="36" priority="37"/>
  </conditionalFormatting>
  <conditionalFormatting sqref="D33">
    <cfRule type="duplicateValues" dxfId="35" priority="36"/>
  </conditionalFormatting>
  <conditionalFormatting sqref="D37">
    <cfRule type="duplicateValues" dxfId="34" priority="35"/>
  </conditionalFormatting>
  <conditionalFormatting sqref="D41">
    <cfRule type="duplicateValues" dxfId="33" priority="34"/>
  </conditionalFormatting>
  <conditionalFormatting sqref="D45">
    <cfRule type="duplicateValues" dxfId="32" priority="33"/>
  </conditionalFormatting>
  <conditionalFormatting sqref="D49">
    <cfRule type="duplicateValues" dxfId="31" priority="32"/>
  </conditionalFormatting>
  <conditionalFormatting sqref="D53">
    <cfRule type="duplicateValues" dxfId="30" priority="31"/>
  </conditionalFormatting>
  <conditionalFormatting sqref="D57">
    <cfRule type="duplicateValues" dxfId="29" priority="30"/>
  </conditionalFormatting>
  <conditionalFormatting sqref="D61">
    <cfRule type="duplicateValues" dxfId="28" priority="29"/>
  </conditionalFormatting>
  <conditionalFormatting sqref="D65">
    <cfRule type="duplicateValues" dxfId="27" priority="28"/>
  </conditionalFormatting>
  <conditionalFormatting sqref="D69">
    <cfRule type="duplicateValues" dxfId="26" priority="27"/>
  </conditionalFormatting>
  <conditionalFormatting sqref="D73">
    <cfRule type="duplicateValues" dxfId="25" priority="26"/>
  </conditionalFormatting>
  <conditionalFormatting sqref="D77">
    <cfRule type="duplicateValues" dxfId="24" priority="25"/>
  </conditionalFormatting>
  <conditionalFormatting sqref="D81">
    <cfRule type="duplicateValues" dxfId="23" priority="24"/>
  </conditionalFormatting>
  <conditionalFormatting sqref="D85">
    <cfRule type="duplicateValues" dxfId="22" priority="23"/>
  </conditionalFormatting>
  <conditionalFormatting sqref="D89">
    <cfRule type="duplicateValues" dxfId="21" priority="22"/>
  </conditionalFormatting>
  <conditionalFormatting sqref="D93">
    <cfRule type="duplicateValues" dxfId="20" priority="21"/>
  </conditionalFormatting>
  <conditionalFormatting sqref="D97">
    <cfRule type="duplicateValues" dxfId="19" priority="20"/>
  </conditionalFormatting>
  <conditionalFormatting sqref="D101">
    <cfRule type="duplicateValues" dxfId="18" priority="19"/>
  </conditionalFormatting>
  <conditionalFormatting sqref="D105">
    <cfRule type="duplicateValues" dxfId="17" priority="18"/>
  </conditionalFormatting>
  <conditionalFormatting sqref="D109">
    <cfRule type="duplicateValues" dxfId="16" priority="17"/>
  </conditionalFormatting>
  <conditionalFormatting sqref="D113">
    <cfRule type="duplicateValues" dxfId="15" priority="16"/>
  </conditionalFormatting>
  <conditionalFormatting sqref="D117">
    <cfRule type="duplicateValues" dxfId="14" priority="15"/>
  </conditionalFormatting>
  <conditionalFormatting sqref="D121">
    <cfRule type="duplicateValues" dxfId="13" priority="14"/>
  </conditionalFormatting>
  <conditionalFormatting sqref="D125">
    <cfRule type="duplicateValues" dxfId="12" priority="13"/>
  </conditionalFormatting>
  <conditionalFormatting sqref="D129">
    <cfRule type="duplicateValues" dxfId="11" priority="12"/>
  </conditionalFormatting>
  <conditionalFormatting sqref="D133">
    <cfRule type="duplicateValues" dxfId="10" priority="11"/>
  </conditionalFormatting>
  <conditionalFormatting sqref="D137">
    <cfRule type="duplicateValues" dxfId="9" priority="10"/>
  </conditionalFormatting>
  <conditionalFormatting sqref="D141">
    <cfRule type="duplicateValues" dxfId="8" priority="9"/>
  </conditionalFormatting>
  <conditionalFormatting sqref="D145">
    <cfRule type="duplicateValues" dxfId="7" priority="8"/>
  </conditionalFormatting>
  <conditionalFormatting sqref="D149">
    <cfRule type="duplicateValues" dxfId="6" priority="7"/>
  </conditionalFormatting>
  <conditionalFormatting sqref="D153">
    <cfRule type="duplicateValues" dxfId="5" priority="6"/>
  </conditionalFormatting>
  <conditionalFormatting sqref="D157">
    <cfRule type="duplicateValues" dxfId="4" priority="5"/>
  </conditionalFormatting>
  <conditionalFormatting sqref="D161">
    <cfRule type="duplicateValues" dxfId="3" priority="4"/>
  </conditionalFormatting>
  <conditionalFormatting sqref="D165">
    <cfRule type="duplicateValues" dxfId="2" priority="3"/>
  </conditionalFormatting>
  <conditionalFormatting sqref="D169">
    <cfRule type="duplicateValues" dxfId="1" priority="2"/>
  </conditionalFormatting>
  <conditionalFormatting sqref="D173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Sheet3</vt:lpstr>
      <vt:lpstr>h</vt:lpstr>
      <vt:lpstr>Dataset</vt:lpstr>
      <vt:lpstr>ABC12</vt:lpstr>
      <vt:lpstr>Sheet1</vt:lpstr>
      <vt:lpstr>ABC_</vt:lpstr>
      <vt:lpstr>cpy</vt:lpstr>
      <vt:lpstr>ABC</vt:lpstr>
      <vt:lpstr>ABC11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Fathima Isoofa</dc:creator>
  <cp:lastModifiedBy>Ishoo</cp:lastModifiedBy>
  <dcterms:created xsi:type="dcterms:W3CDTF">2024-04-01T15:29:32Z</dcterms:created>
  <dcterms:modified xsi:type="dcterms:W3CDTF">2024-04-14T11:24:06Z</dcterms:modified>
</cp:coreProperties>
</file>